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viewers" sheetId="2" state="visible" r:id="rId2"/>
    <sheet name="invicti" sheetId="3" state="visible" r:id="rId3"/>
    <sheet name="veracode" sheetId="4" state="visible" r:id="rId4"/>
    <sheet name="checkmarx-dast" sheetId="5" state="visible" r:id="rId5"/>
    <sheet name="hcl-appscan" sheetId="6" state="visible" r:id="rId6"/>
    <sheet name="How This Work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6"/>
    </font>
    <font>
      <b val="1"/>
    </font>
    <font>
      <b val="1"/>
      <color rgb="00FFFFFF"/>
    </font>
  </fonts>
  <fills count="5">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F2F2F2"/>
        <bgColor rgb="00F2F2F2"/>
      </patternFill>
    </fill>
  </fills>
  <borders count="3">
    <border>
      <left/>
      <right/>
      <top/>
      <bottom/>
      <diagonal/>
    </border>
    <border>
      <left style="thin"/>
      <right style="thin"/>
      <top style="thin"/>
      <bottom style="thin"/>
    </border>
    <border>
      <top style="mediu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3" borderId="0" pivotButton="0" quotePrefix="0" xfId="0"/>
    <xf numFmtId="164" fontId="2" fillId="3" borderId="0" applyAlignment="1" pivotButton="0" quotePrefix="0" xfId="0">
      <alignment horizontal="right"/>
    </xf>
    <xf numFmtId="164" fontId="0" fillId="0" borderId="0" applyAlignment="1" pivotButton="0" quotePrefix="0" xfId="0">
      <alignment horizontal="right"/>
    </xf>
    <xf numFmtId="0" fontId="0" fillId="0" borderId="0" applyAlignment="1" pivotButton="0" quotePrefix="0" xfId="0">
      <alignment horizontal="center"/>
    </xf>
    <xf numFmtId="0" fontId="0" fillId="0" borderId="0" applyProtection="1" pivotButton="0" quotePrefix="0" xfId="0">
      <protection locked="0" hidden="0"/>
    </xf>
    <xf numFmtId="0" fontId="0" fillId="4" borderId="0" applyAlignment="1" pivotButton="0" quotePrefix="0" xfId="0">
      <alignment horizontal="center"/>
    </xf>
    <xf numFmtId="0" fontId="0" fillId="4" borderId="0" applyProtection="1" pivotButton="0" quotePrefix="0" xfId="0">
      <protection locked="0" hidden="0"/>
    </xf>
    <xf numFmtId="0" fontId="0" fillId="0" borderId="0" applyAlignment="1" pivotButton="0" quotePrefix="0" xfId="0">
      <alignment horizontal="left"/>
    </xf>
    <xf numFmtId="0" fontId="0" fillId="0" borderId="0" applyAlignment="1" pivotButton="0" quotePrefix="0" xfId="0">
      <alignment horizontal="left" wrapText="1"/>
    </xf>
    <xf numFmtId="164" fontId="0" fillId="0" borderId="0" applyAlignment="1" applyProtection="1" pivotButton="0" quotePrefix="0" xfId="0">
      <alignment horizontal="right"/>
      <protection locked="0" hidden="0"/>
    </xf>
    <xf numFmtId="0" fontId="0" fillId="0" borderId="0" applyAlignment="1" applyProtection="1" pivotButton="0" quotePrefix="0" xfId="0">
      <alignment horizontal="left"/>
      <protection locked="0" hidden="0"/>
    </xf>
    <xf numFmtId="0" fontId="0" fillId="0" borderId="0" applyAlignment="1" applyProtection="1" pivotButton="0" quotePrefix="0" xfId="0">
      <alignment horizontal="left" wrapText="1"/>
      <protection locked="0" hidden="0"/>
    </xf>
    <xf numFmtId="0" fontId="0" fillId="4" borderId="0" applyAlignment="1" pivotButton="0" quotePrefix="0" xfId="0">
      <alignment horizontal="left"/>
    </xf>
    <xf numFmtId="164" fontId="0" fillId="4" borderId="0" applyAlignment="1" pivotButton="0" quotePrefix="0" xfId="0">
      <alignment horizontal="right"/>
    </xf>
    <xf numFmtId="0" fontId="0" fillId="4" borderId="0" applyAlignment="1" pivotButton="0" quotePrefix="0" xfId="0">
      <alignment horizontal="left" wrapText="1"/>
    </xf>
    <xf numFmtId="164" fontId="0" fillId="4" borderId="0" applyAlignment="1" applyProtection="1" pivotButton="0" quotePrefix="0" xfId="0">
      <alignment horizontal="right"/>
      <protection locked="0" hidden="0"/>
    </xf>
    <xf numFmtId="0" fontId="0" fillId="4" borderId="0" applyAlignment="1" applyProtection="1" pivotButton="0" quotePrefix="0" xfId="0">
      <alignment horizontal="left"/>
      <protection locked="0" hidden="0"/>
    </xf>
    <xf numFmtId="0" fontId="0" fillId="4" borderId="0" applyAlignment="1" applyProtection="1" pivotButton="0" quotePrefix="0" xfId="0">
      <alignment horizontal="left" wrapText="1"/>
      <protection locked="0" hidden="0"/>
    </xf>
    <xf numFmtId="0" fontId="0" fillId="4" borderId="0" pivotButton="0" quotePrefix="0" xfId="0"/>
    <xf numFmtId="0" fontId="3" fillId="2" borderId="0" pivotButton="0" quotePrefix="0" xfId="0"/>
    <xf numFmtId="0" fontId="0" fillId="0" borderId="2" pivotButton="0" quotePrefix="0" xfId="0"/>
    <xf numFmtId="0" fontId="0" fillId="0" borderId="0" applyAlignment="1" pivotButton="0" quotePrefix="0" xfId="0">
      <alignment vertical="top" wrapText="1"/>
    </xf>
    <xf numFmtId="0" fontId="0" fillId="4" borderId="1" applyAlignment="1" pivotButton="0" quotePrefix="0" xfId="0">
      <alignment vertical="top" wrapText="1"/>
    </xf>
    <xf numFmtId="0" fontId="0" fillId="4" borderId="1" pivotButton="0" quotePrefix="0" xfId="0"/>
  </cellXfs>
  <cellStyles count="1">
    <cellStyle name="Normal" xfId="0" builtinId="0" hidden="0"/>
  </cellStyles>
  <dxfs count="1">
    <dxf>
      <fill>
        <patternFill patternType="solid">
          <fgColor rgb="00FCE4D6"/>
          <b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Weighted Avg Score by Vendor</a:t>
            </a:r>
          </a:p>
        </rich>
      </tx>
    </title>
    <plotArea>
      <barChart>
        <barDir val="col"/>
        <grouping val="clustered"/>
        <ser>
          <idx val="0"/>
          <order val="0"/>
          <tx>
            <strRef>
              <f>'Overview'!H8</f>
            </strRef>
          </tx>
          <spPr>
            <a:ln>
              <a:prstDash val="solid"/>
            </a:ln>
          </spPr>
          <cat>
            <numRef>
              <f>'Overview'!$A$9:$A$12</f>
            </numRef>
          </cat>
          <val>
            <numRef>
              <f>'Overview'!$H$9:$H$12</f>
            </numRef>
          </val>
        </ser>
        <gapWidth val="150"/>
        <axId val="10"/>
        <axId val="100"/>
      </barChart>
      <catAx>
        <axId val="10"/>
        <scaling>
          <orientation val="minMax"/>
        </scaling>
        <axPos val="l"/>
        <title>
          <tx>
            <rich>
              <a:bodyPr/>
              <a:p>
                <a:pPr>
                  <a:defRPr/>
                </a:pPr>
                <a:r>
                  <a:t>Vendor</a:t>
                </a:r>
              </a:p>
            </rich>
          </tx>
        </title>
        <majorTickMark val="none"/>
        <minorTickMark val="none"/>
        <crossAx val="100"/>
        <lblOffset val="100"/>
      </catAx>
      <valAx>
        <axId val="100"/>
        <scaling>
          <orientation val="minMax"/>
        </scaling>
        <axPos val="l"/>
        <majorGridlines/>
        <title>
          <tx>
            <rich>
              <a:bodyPr/>
              <a:p>
                <a:pPr>
                  <a:defRPr/>
                </a:pPr>
                <a:r>
                  <a:t>Weighted Avg Score (0-5)</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hyperlink" Target="https://invicti.com/features/proof-based-scanning" TargetMode="External" Id="rId1" /><Relationship Type="http://schemas.openxmlformats.org/officeDocument/2006/relationships/hyperlink" Target="https://invicti.com/features/api-security-testing" TargetMode="External" Id="rId2" /><Relationship Type="http://schemas.openxmlformats.org/officeDocument/2006/relationships/hyperlink" Target="https://invicti.com/support/scanning-graphql-api" TargetMode="External" Id="rId3" /><Relationship Type="http://schemas.openxmlformats.org/officeDocument/2006/relationships/hyperlink" Target="https://invicti.com/support/integrating-invicti-enterprise-github-actions" TargetMode="External" Id="rId4" /><Relationship Type="http://schemas.openxmlformats.org/officeDocument/2006/relationships/hyperlink" Target="https://invicti.com/pci-asv-scanner" TargetMode="External" Id="rId5" /><Relationship Type="http://schemas.openxmlformats.org/officeDocument/2006/relationships/hyperlink" Target="https://docs.invicti.com/ie-is/business-logic-recorder-invicti" TargetMode="External" Id="rId6" /><Relationship Type="http://schemas.openxmlformats.org/officeDocument/2006/relationships/hyperlink" Target="https://invicti.com/blog/web-security/how-dast-supports-compliance-pci-dss-iso27001-hipaa-soc2" TargetMode="External" Id="rId7" /><Relationship Type="http://schemas.openxmlformats.org/officeDocument/2006/relationships/hyperlink" Target="https://invicti.com/features/proof-based-scanning" TargetMode="External" Id="rId8" /><Relationship Type="http://schemas.openxmlformats.org/officeDocument/2006/relationships/hyperlink" Target="https://invicti.com/solutions/api-discovery" TargetMode="External" Id="rId9" /><Relationship Type="http://schemas.openxmlformats.org/officeDocument/2006/relationships/hyperlink" Target="https://invicti.com/features/developer-guidance" TargetMode="External" Id="rId10" /><Relationship Type="http://schemas.openxmlformats.org/officeDocument/2006/relationships/hyperlink" Target="https://invicti.com/features/automate-remediation-workflows" TargetMode="External" Id="rId11" /><Relationship Type="http://schemas.openxmlformats.org/officeDocument/2006/relationships/hyperlink" Target="https://invicti.com/features/proof-based-scanning" TargetMode="External" Id="rId12" /><Relationship Type="http://schemas.openxmlformats.org/officeDocument/2006/relationships/hyperlink" Target="https://invicti.com/features/advanced-website-crawling-technologies" TargetMode="External" Id="rId13" /><Relationship Type="http://schemas.openxmlformats.org/officeDocument/2006/relationships/hyperlink" Target="https://invicti.com/compliance" TargetMode="External" Id="rId14" /><Relationship Type="http://schemas.openxmlformats.org/officeDocument/2006/relationships/hyperlink" Target="https://invicti.com/web-vulnerability-scanner/vulnerabilities/credit-card-disclosure" TargetMode="External" Id="rId15" /><Relationship Type="http://schemas.openxmlformats.org/officeDocument/2006/relationships/hyperlink" Target="https://invicti.com" TargetMode="External" Id="rId16" /><Relationship Type="http://schemas.openxmlformats.org/officeDocument/2006/relationships/hyperlink" Target="https://invicti.com/features/proof-based-scanning" TargetMode="External" Id="rId17" /><Relationship Type="http://schemas.openxmlformats.org/officeDocument/2006/relationships/hyperlink" Target="https://invicti.com/features/automate-remediation-workflows" TargetMode="External" Id="rId18" /><Relationship Type="http://schemas.openxmlformats.org/officeDocument/2006/relationships/hyperlink" Target="https://invicti.com/features/automate-remediation-workflows" TargetMode="External" Id="rId19" /><Relationship Type="http://schemas.openxmlformats.org/officeDocument/2006/relationships/hyperlink" Target="https://invicti.com" TargetMode="External" Id="rId20" /><Relationship Type="http://schemas.openxmlformats.org/officeDocument/2006/relationships/hyperlink" Target="https://netsparker.request" TargetMode="External" Id="rId21" /><Relationship Type="http://schemas.openxmlformats.org/officeDocument/2006/relationships/hyperlink" Target="https://netsparker.exe" TargetMode="External" Id="rId22" /><Relationship Type="http://schemas.openxmlformats.org/officeDocument/2006/relationships/hyperlink" Target="https://invicti.com/solutions/api-discovery" TargetMode="External" Id="rId23" /><Relationship Type="http://schemas.openxmlformats.org/officeDocument/2006/relationships/hyperlink" Target="https://docs.invicti.com/ie-is/incremental-scan-node" TargetMode="External" Id="rId24" /><Relationship Type="http://schemas.openxmlformats.org/officeDocument/2006/relationships/hyperlink" Target="https://invicti.com/product/ai-powered-application-security" TargetMode="External" Id="rId25" /></Relationships>
</file>

<file path=xl/worksheets/_rels/sheet4.xml.rels><Relationships xmlns="http://schemas.openxmlformats.org/package/2006/relationships"><Relationship Type="http://schemas.openxmlformats.org/officeDocument/2006/relationships/hyperlink" Target="https://securityscientist.net/blog/12-questions-and-answers-about-veracode-dast" TargetMode="External" Id="rId1" /><Relationship Type="http://schemas.openxmlformats.org/officeDocument/2006/relationships/hyperlink" Target="https://veracode.com/products/dynamic-analysis-dast" TargetMode="External" Id="rId2" /><Relationship Type="http://schemas.openxmlformats.org/officeDocument/2006/relationships/hyperlink" Target="https://appsecsanta.com/veracode-dast" TargetMode="External" Id="rId3" /><Relationship Type="http://schemas.openxmlformats.org/officeDocument/2006/relationships/hyperlink" Target="https://docs.veracode.com/r/Scan_web_applications_and_APIs" TargetMode="External" Id="rId4" /><Relationship Type="http://schemas.openxmlformats.org/officeDocument/2006/relationships/hyperlink" Target="https://veracode.com/products/dynamic-analysis-dast" TargetMode="External" Id="rId5" /><Relationship Type="http://schemas.openxmlformats.org/officeDocument/2006/relationships/hyperlink" Target="https://veracode.com/products/dynamic-analysis-dast" TargetMode="External" Id="rId6" /><Relationship Type="http://schemas.openxmlformats.org/officeDocument/2006/relationships/hyperlink" Target="https://veracode.com/veracode-external-attack-surface-management" TargetMode="External" Id="rId7" /><Relationship Type="http://schemas.openxmlformats.org/officeDocument/2006/relationships/hyperlink" Target="https://veracode.com/products/dynamic-analysis-dast" TargetMode="External" Id="rId8" /><Relationship Type="http://schemas.openxmlformats.org/officeDocument/2006/relationships/hyperlink" Target="https://veracode.com/application-security-compliance" TargetMode="External" Id="rId9" /><Relationship Type="http://schemas.openxmlformats.org/officeDocument/2006/relationships/hyperlink" Target="https://veracode.com/products/dynamic-analysis-dast" TargetMode="External" Id="rId10" /><Relationship Type="http://schemas.openxmlformats.org/officeDocument/2006/relationships/hyperlink" Target="https://docs.veracode.com/r/Veracode_Integrations" TargetMode="External" Id="rId11" /><Relationship Type="http://schemas.openxmlformats.org/officeDocument/2006/relationships/hyperlink" Target="https://veracode.com/products/dynamic-analysis-dast" TargetMode="External" Id="rId12" /><Relationship Type="http://schemas.openxmlformats.org/officeDocument/2006/relationships/hyperlink" Target="https://marketplace.atlassian.com/apps/1218497/veracode-integration-for-jira-cloud" TargetMode="External" Id="rId13" /><Relationship Type="http://schemas.openxmlformats.org/officeDocument/2006/relationships/hyperlink" Target="https://docs.veracode.com/r/c_role_permissions" TargetMode="External" Id="rId14" /><Relationship Type="http://schemas.openxmlformats.org/officeDocument/2006/relationships/hyperlink" Target="https://veracode.com/blog/getting-started-guide-veracode-dast-essentials" TargetMode="External" Id="rId15" /><Relationship Type="http://schemas.openxmlformats.org/officeDocument/2006/relationships/hyperlink" Target="https://vendr.com/marketplace/veracode" TargetMode="External" Id="rId16" /><Relationship Type="http://schemas.openxmlformats.org/officeDocument/2006/relationships/hyperlink" Target="https://docs.veracode.com/r/Veracode_Integrations" TargetMode="External" Id="rId17" /><Relationship Type="http://schemas.openxmlformats.org/officeDocument/2006/relationships/hyperlink" Target="https://veracode.com/about/certifications" TargetMode="External" Id="rId18" /><Relationship Type="http://schemas.openxmlformats.org/officeDocument/2006/relationships/hyperlink" Target="https://veracode.com/blog/introducing-veracode-risk-manager-new-chapter-aspm-built-scale" TargetMode="External" Id="rId19" /><Relationship Type="http://schemas.openxmlformats.org/officeDocument/2006/relationships/hyperlink" Target="https://veracode.com/analytics" TargetMode="External" Id="rId20" /><Relationship Type="http://schemas.openxmlformats.org/officeDocument/2006/relationships/hyperlink" Target="https://github.com/veracode/Veracode-Community-Projects" TargetMode="External" Id="rId21" /><Relationship Type="http://schemas.openxmlformats.org/officeDocument/2006/relationships/hyperlink" Target="https://veracode.com/products/dynamic-analysis-dast" TargetMode="External" Id="rId22" /><Relationship Type="http://schemas.openxmlformats.org/officeDocument/2006/relationships/hyperlink" Target="https://marketplace.atlassian.com/apps/1218497/veracode-integration-for-jira-cloud" TargetMode="External" Id="rId23" /><Relationship Type="http://schemas.openxmlformats.org/officeDocument/2006/relationships/hyperlink" Target="https://veracode.com/veracode-external-attack-surface-management" TargetMode="External" Id="rId24" /><Relationship Type="http://schemas.openxmlformats.org/officeDocument/2006/relationships/hyperlink" Target="https://docs.veracode.com/r/Veracode_Integrations" TargetMode="External" Id="rId25" /><Relationship Type="http://schemas.openxmlformats.org/officeDocument/2006/relationships/hyperlink" Target="https://docs.veracode.com/r/Veracode_Fix_GitHub_Action" TargetMode="External" Id="rId26" /><Relationship Type="http://schemas.openxmlformats.org/officeDocument/2006/relationships/hyperlink" Target="https://docs.veracode.com/r/Scan_Web_Applications" TargetMode="External" Id="rId27" /></Relationships>
</file>

<file path=xl/worksheets/_rels/sheet5.xml.rels><Relationships xmlns="http://schemas.openxmlformats.org/package/2006/relationships"><Relationship Type="http://schemas.openxmlformats.org/officeDocument/2006/relationships/hyperlink" Target="https://docs.checkmarx.com/authentication-support" TargetMode="External" Id="rId1" /><Relationship Type="http://schemas.openxmlformats.org/officeDocument/2006/relationships/hyperlink" Target="https://docs.checkmarx.com/limiting-engine-scans" TargetMode="External" Id="rId2" /><Relationship Type="http://schemas.openxmlformats.org/officeDocument/2006/relationships/hyperlink" Target="https://checkmarx.com/checkmarx-dast" TargetMode="External" Id="rId3" /><Relationship Type="http://schemas.openxmlformats.org/officeDocument/2006/relationships/hyperlink" Target="https://docs.checkmarx.com/ci-cd-integrations" TargetMode="External" Id="rId4" /><Relationship Type="http://schemas.openxmlformats.org/officeDocument/2006/relationships/hyperlink" Target="https://securityscientist.net/blog/12-questions-and-answers-about-checkmarx-one" TargetMode="External" Id="rId5" /><Relationship Type="http://schemas.openxmlformats.org/officeDocument/2006/relationships/hyperlink" Target="https://ASP.NET" TargetMode="External" Id="rId6" /><Relationship Type="http://schemas.openxmlformats.org/officeDocument/2006/relationships/hyperlink" Target="https://checkmarx.com/learn/integrating-dast-and-sast-into-devsecops-for-continuous-api-security" TargetMode="External" Id="rId7" /><Relationship Type="http://schemas.openxmlformats.org/officeDocument/2006/relationships/hyperlink" Target="https://checkmarx.com/product/api-security" TargetMode="External" Id="rId8" /><Relationship Type="http://schemas.openxmlformats.org/officeDocument/2006/relationships/hyperlink" Target="https://docs.checkmarx.com" TargetMode="External" Id="rId9" /><Relationship Type="http://schemas.openxmlformats.org/officeDocument/2006/relationships/hyperlink" Target="https://docs.checkmarx.com/managing-triaging-vulnerabilities" TargetMode="External" Id="rId10" /><Relationship Type="http://schemas.openxmlformats.org/officeDocument/2006/relationships/hyperlink" Target="https://checkmarx.com/blog/checkmarx-dast-for-the-ai-coding-era" TargetMode="External" Id="rId11" /><Relationship Type="http://schemas.openxmlformats.org/officeDocument/2006/relationships/hyperlink" Target="https://checkmarx.com/legal/checkmarx-one-license-types-and-restrictions" TargetMode="External" Id="rId12" /><Relationship Type="http://schemas.openxmlformats.org/officeDocument/2006/relationships/hyperlink" Target="https://docs.checkmarx.com/access-control-overview" TargetMode="External" Id="rId13" /><Relationship Type="http://schemas.openxmlformats.org/officeDocument/2006/relationships/hyperlink" Target="https://checkmarx.com/checkmarx-dast" TargetMode="External" Id="rId14" /><Relationship Type="http://schemas.openxmlformats.org/officeDocument/2006/relationships/hyperlink" Target="https://checkmarx.com/learn/dast" TargetMode="External" Id="rId15" /><Relationship Type="http://schemas.openxmlformats.org/officeDocument/2006/relationships/hyperlink" Target="https://checkmarx.com/trust" TargetMode="External" Id="rId16" /><Relationship Type="http://schemas.openxmlformats.org/officeDocument/2006/relationships/hyperlink" Target="https://docs.checkmarx.com/secret-detection" TargetMode="External" Id="rId17" /><Relationship Type="http://schemas.openxmlformats.org/officeDocument/2006/relationships/hyperlink" Target="https://defectdojo.com/integrations/checkmarx-one" TargetMode="External" Id="rId18" /><Relationship Type="http://schemas.openxmlformats.org/officeDocument/2006/relationships/hyperlink" Target="https://docs.checkmarx.com/checkmarx-dast" TargetMode="External" Id="rId19" /><Relationship Type="http://schemas.openxmlformats.org/officeDocument/2006/relationships/hyperlink" Target="https://docs.checkmarx.com/executive-overview-dashboard" TargetMode="External" Id="rId20" /><Relationship Type="http://schemas.openxmlformats.org/officeDocument/2006/relationships/hyperlink" Target="https://docs.checkmarx.com/global-csv-result-reports" TargetMode="External" Id="rId21" /><Relationship Type="http://schemas.openxmlformats.org/officeDocument/2006/relationships/hyperlink" Target="https://checkmarx.com/checkmarx-dast" TargetMode="External" Id="rId22" /><Relationship Type="http://schemas.openxmlformats.org/officeDocument/2006/relationships/hyperlink" Target="https://docs.checkmarx.com/jira" TargetMode="External" Id="rId23" /><Relationship Type="http://schemas.openxmlformats.org/officeDocument/2006/relationships/hyperlink" Target="https://docs.checkmarx.com" TargetMode="External" Id="rId24" /><Relationship Type="http://schemas.openxmlformats.org/officeDocument/2006/relationships/hyperlink" Target="https://checkmarx.com/product/api-security" TargetMode="External" Id="rId25" /><Relationship Type="http://schemas.openxmlformats.org/officeDocument/2006/relationships/hyperlink" Target="https://checkmarx.com/product/api-security" TargetMode="External" Id="rId26" /><Relationship Type="http://schemas.openxmlformats.org/officeDocument/2006/relationships/hyperlink" Target="https://docs.checkmarx.com/scripting" TargetMode="External" Id="rId27" /><Relationship Type="http://schemas.openxmlformats.org/officeDocument/2006/relationships/hyperlink" Target="https://docs.checkmarx.com/checkmarx-one-vs-code-extension" TargetMode="External" Id="rId28" /><Relationship Type="http://schemas.openxmlformats.org/officeDocument/2006/relationships/hyperlink" Target="https://checkmarx.com/product/triage-and-remediation" TargetMode="External" Id="rId29" /><Relationship Type="http://schemas.openxmlformats.org/officeDocument/2006/relationships/hyperlink" Target="https://support.checkmarx.com" TargetMode="External" Id="rId30" /></Relationships>
</file>

<file path=xl/worksheets/_rels/sheet6.xml.rels><Relationships xmlns="http://schemas.openxmlformats.org/package/2006/relationships"><Relationship Type="http://schemas.openxmlformats.org/officeDocument/2006/relationships/hyperlink" Target="https://aimultiple.com/dast-tools" TargetMode="External" Id="rId1" /><Relationship Type="http://schemas.openxmlformats.org/officeDocument/2006/relationships/hyperlink" Target="https://help.hcl-software.com" TargetMode="External" Id="rId2" /><Relationship Type="http://schemas.openxmlformats.org/officeDocument/2006/relationships/hyperlink" Target="https://help.hcl-software.com" TargetMode="External" Id="rId3" /><Relationship Type="http://schemas.openxmlformats.org/officeDocument/2006/relationships/hyperlink" Target="https://help.hcl-software.com/appscan" TargetMode="External" Id="rId4" /><Relationship Type="http://schemas.openxmlformats.org/officeDocument/2006/relationships/hyperlink" Target="https://plugins.jenkins.io/appscan" TargetMode="External" Id="rId5" /><Relationship Type="http://schemas.openxmlformats.org/officeDocument/2006/relationships/hyperlink" Target="https://hcl-software.com/appscan" TargetMode="External" Id="rId6" /><Relationship Type="http://schemas.openxmlformats.org/officeDocument/2006/relationships/hyperlink" Target="https://appsecsanta.com/hcl-appscan-dast" TargetMode="External" Id="rId7" /><Relationship Type="http://schemas.openxmlformats.org/officeDocument/2006/relationships/hyperlink" Target="https://help.hcl-software.com/appscan/Standard/10.6.0/t_TestPrivilegeEscalation080.html" TargetMode="External" Id="rId8" /><Relationship Type="http://schemas.openxmlformats.org/officeDocument/2006/relationships/hyperlink" Target="https://help.hcl-software.com" TargetMode="External" Id="rId9" /><Relationship Type="http://schemas.openxmlformats.org/officeDocument/2006/relationships/hyperlink" Target="https://aimultiple.com/dast-tools" TargetMode="External" Id="rId10" /><Relationship Type="http://schemas.openxmlformats.org/officeDocument/2006/relationships/hyperlink" Target="https://hcl-software.com/appscan/products/api-security" TargetMode="External" Id="rId11" /><Relationship Type="http://schemas.openxmlformats.org/officeDocument/2006/relationships/hyperlink" Target="https://hcl-software.com/appscan/products/rapidfix" TargetMode="External" Id="rId12" /><Relationship Type="http://schemas.openxmlformats.org/officeDocument/2006/relationships/hyperlink" Target="https://help.hcl-software.com" TargetMode="External" Id="rId13" /><Relationship Type="http://schemas.openxmlformats.org/officeDocument/2006/relationships/hyperlink" Target="https://help.hcl-software.com" TargetMode="External" Id="rId14" /><Relationship Type="http://schemas.openxmlformats.org/officeDocument/2006/relationships/hyperlink" Target="https://hcl-software.com" TargetMode="External" Id="rId15" /><Relationship Type="http://schemas.openxmlformats.org/officeDocument/2006/relationships/hyperlink" Target="https://beaglesecurity.com" TargetMode="External" Id="rId16" /><Relationship Type="http://schemas.openxmlformats.org/officeDocument/2006/relationships/hyperlink" Target="https://hcl-software.com/blog/appscan" TargetMode="External" Id="rId17" /><Relationship Type="http://schemas.openxmlformats.org/officeDocument/2006/relationships/hyperlink" Target="https://help.hcl-software.com" TargetMode="External" Id="rId18" /><Relationship Type="http://schemas.openxmlformats.org/officeDocument/2006/relationships/hyperlink" Target="https://hcl-software.com/legal/compliance/soc2" TargetMode="External" Id="rId19" /><Relationship Type="http://schemas.openxmlformats.org/officeDocument/2006/relationships/hyperlink" Target="https://armorcode.com/integrations" TargetMode="External" Id="rId20" /><Relationship Type="http://schemas.openxmlformats.org/officeDocument/2006/relationships/hyperlink" Target="https://hcl-software.com/appscan/products/api-security" TargetMode="External" Id="rId21" /><Relationship Type="http://schemas.openxmlformats.org/officeDocument/2006/relationships/hyperlink" Target="https://help.hcltechsw.com" TargetMode="External" Id="rId22" /><Relationship Type="http://schemas.openxmlformats.org/officeDocument/2006/relationships/hyperlink" Target="https://help.hcl-software.com" TargetMode="External" Id="rId23" /><Relationship Type="http://schemas.openxmlformats.org/officeDocument/2006/relationships/hyperlink" Target="https://help.hcl-software.com" TargetMode="External" Id="rId24" /><Relationship Type="http://schemas.openxmlformats.org/officeDocument/2006/relationships/hyperlink" Target="https://help.hcl-software.com" TargetMode="External" Id="rId25" /><Relationship Type="http://schemas.openxmlformats.org/officeDocument/2006/relationships/hyperlink" Target="https://splunkbase.splunk.com/app/7991" TargetMode="External" Id="rId26" /><Relationship Type="http://schemas.openxmlformats.org/officeDocument/2006/relationships/hyperlink" Target="https://hcl-software.com/appscan/products/api-security" TargetMode="External" Id="rId27" /><Relationship Type="http://schemas.openxmlformats.org/officeDocument/2006/relationships/hyperlink" Target="https://help.hcl-software.com" TargetMode="External" Id="rId28" /><Relationship Type="http://schemas.openxmlformats.org/officeDocument/2006/relationships/hyperlink" Target="https://marketplace.visualstudio.com" TargetMode="External" Id="rId29" /><Relationship Type="http://schemas.openxmlformats.org/officeDocument/2006/relationships/hyperlink" Target="https://help.hcl-software.com/appscan/360/2.1.0/appseccloud_rapidfix.html" TargetMode="External" Id="rId30" /><Relationship Type="http://schemas.openxmlformats.org/officeDocument/2006/relationships/hyperlink" Target="https://help.hcl-software.com/appscan/ASoC/appseccloud_scanning_rescan_cm.html" TargetMode="External" Id="rId31" /></Relationships>
</file>

<file path=xl/worksheets/sheet1.xml><?xml version="1.0" encoding="utf-8"?>
<worksheet xmlns="http://schemas.openxmlformats.org/spreadsheetml/2006/main">
  <sheetPr>
    <tabColor rgb="001F4E78"/>
    <outlinePr summaryBelow="1" summaryRight="1"/>
    <pageSetUpPr/>
  </sheetPr>
  <dimension ref="A1:I12"/>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8" customHeight="1">
      <c r="A1" s="1" t="inlineStr">
        <is>
          <t>Overview</t>
        </is>
      </c>
    </row>
    <row r="3" ht="20" customHeight="1">
      <c r="A3" s="2" t="inlineStr">
        <is>
          <t>About This Report</t>
        </is>
      </c>
    </row>
    <row r="4">
      <c r="A4" t="inlineStr">
        <is>
          <t>This workbook ranks DAST (dynamic application security testing) vendors against a weighted set of evaluation criteria, blending automated desk research with hands-on benchmark testing where available.</t>
        </is>
      </c>
    </row>
    <row r="5">
      <c r="A5" t="inlineStr">
        <is>
          <t>Reviewers can weigh in on any criterion on that vendor's tab and resolve disagreements with the automated score; resolved scores take precedence in the totals below. Claim a reviewer slot once on the "Reviewers" tab and it applies automatically to every vendor tab.</t>
        </is>
      </c>
    </row>
    <row r="6">
      <c r="A6" t="inlineStr">
        <is>
          <t>See the "How This Works" tab (last tab) for the full methodology, scoring formulas, and definitions.</t>
        </is>
      </c>
    </row>
    <row r="8" ht="34" customHeight="1">
      <c r="A8" s="3" t="inlineStr">
        <is>
          <t>Vendor</t>
        </is>
      </c>
      <c r="B8" s="3" t="inlineStr">
        <is>
          <t>Coverage</t>
        </is>
      </c>
      <c r="C8" s="3" t="inlineStr">
        <is>
          <t>Detection Quality</t>
        </is>
      </c>
      <c r="D8" s="3" t="inlineStr">
        <is>
          <t>Production Safety &amp; Operability</t>
        </is>
      </c>
      <c r="E8" s="3" t="inlineStr">
        <is>
          <t>Developer Experience</t>
        </is>
      </c>
      <c r="F8" s="3" t="inlineStr">
        <is>
          <t>Reporting &amp; Extensibility</t>
        </is>
      </c>
      <c r="G8" s="3" t="inlineStr">
        <is>
          <t>Deployment &amp; Data Governance</t>
        </is>
      </c>
      <c r="H8" s="3" t="inlineStr">
        <is>
          <t>Weighted Avg Score</t>
        </is>
      </c>
      <c r="I8" s="3" t="inlineStr">
        <is>
          <t>Total Achieved / Available</t>
        </is>
      </c>
    </row>
    <row r="9">
      <c r="A9" s="4" t="inlineStr">
        <is>
          <t>Invicti</t>
        </is>
      </c>
      <c r="B9" s="5">
        <f>IF('invicti'!E38=0,"Pending",'invicti'!C38/'invicti'!E38*5)</f>
        <v/>
      </c>
      <c r="C9" s="5">
        <f>IF('invicti'!E39=0,"Pending",'invicti'!C39/'invicti'!E39*5)</f>
        <v/>
      </c>
      <c r="D9" s="5">
        <f>IF('invicti'!E40=0,"Pending",'invicti'!C40/'invicti'!E40*5)</f>
        <v/>
      </c>
      <c r="E9" s="5">
        <f>IF('invicti'!E41=0,"Pending",'invicti'!C41/'invicti'!E41*5)</f>
        <v/>
      </c>
      <c r="F9" s="5">
        <f>IF('invicti'!E42=0,"Pending",'invicti'!C42/'invicti'!E42*5)</f>
        <v/>
      </c>
      <c r="G9" s="5">
        <f>IF('invicti'!E43=0,"Pending",'invicti'!C43/'invicti'!E43*5)</f>
        <v/>
      </c>
      <c r="H9" s="5">
        <f>IF('invicti'!E44=0,"Pending",'invicti'!C44/'invicti'!E44*5)</f>
        <v/>
      </c>
      <c r="I9" s="4">
        <f>'invicti'!D44</f>
        <v/>
      </c>
    </row>
    <row r="10">
      <c r="A10" t="inlineStr">
        <is>
          <t>HCL AppScan</t>
        </is>
      </c>
      <c r="B10" s="6">
        <f>IF('hcl-appscan'!E38=0,"Pending",'hcl-appscan'!C38/'hcl-appscan'!E38*5)</f>
        <v/>
      </c>
      <c r="C10" s="6">
        <f>IF('hcl-appscan'!E39=0,"Pending",'hcl-appscan'!C39/'hcl-appscan'!E39*5)</f>
        <v/>
      </c>
      <c r="D10" s="6">
        <f>IF('hcl-appscan'!E40=0,"Pending",'hcl-appscan'!C40/'hcl-appscan'!E40*5)</f>
        <v/>
      </c>
      <c r="E10" s="6">
        <f>IF('hcl-appscan'!E41=0,"Pending",'hcl-appscan'!C41/'hcl-appscan'!E41*5)</f>
        <v/>
      </c>
      <c r="F10" s="6">
        <f>IF('hcl-appscan'!E42=0,"Pending",'hcl-appscan'!C42/'hcl-appscan'!E42*5)</f>
        <v/>
      </c>
      <c r="G10" s="6">
        <f>IF('hcl-appscan'!E43=0,"Pending",'hcl-appscan'!C43/'hcl-appscan'!E43*5)</f>
        <v/>
      </c>
      <c r="H10" s="6">
        <f>IF('hcl-appscan'!E44=0,"Pending",'hcl-appscan'!C44/'hcl-appscan'!E44*5)</f>
        <v/>
      </c>
      <c r="I10">
        <f>'hcl-appscan'!D44</f>
        <v/>
      </c>
    </row>
    <row r="11">
      <c r="A11" t="inlineStr">
        <is>
          <t>Checkmarx DAST</t>
        </is>
      </c>
      <c r="B11" s="6">
        <f>IF('checkmarx-dast'!E38=0,"Pending",'checkmarx-dast'!C38/'checkmarx-dast'!E38*5)</f>
        <v/>
      </c>
      <c r="C11" s="6">
        <f>IF('checkmarx-dast'!E39=0,"Pending",'checkmarx-dast'!C39/'checkmarx-dast'!E39*5)</f>
        <v/>
      </c>
      <c r="D11" s="6">
        <f>IF('checkmarx-dast'!E40=0,"Pending",'checkmarx-dast'!C40/'checkmarx-dast'!E40*5)</f>
        <v/>
      </c>
      <c r="E11" s="6">
        <f>IF('checkmarx-dast'!E41=0,"Pending",'checkmarx-dast'!C41/'checkmarx-dast'!E41*5)</f>
        <v/>
      </c>
      <c r="F11" s="6">
        <f>IF('checkmarx-dast'!E42=0,"Pending",'checkmarx-dast'!C42/'checkmarx-dast'!E42*5)</f>
        <v/>
      </c>
      <c r="G11" s="6">
        <f>IF('checkmarx-dast'!E43=0,"Pending",'checkmarx-dast'!C43/'checkmarx-dast'!E43*5)</f>
        <v/>
      </c>
      <c r="H11" s="6">
        <f>IF('checkmarx-dast'!E44=0,"Pending",'checkmarx-dast'!C44/'checkmarx-dast'!E44*5)</f>
        <v/>
      </c>
      <c r="I11">
        <f>'checkmarx-dast'!D44</f>
        <v/>
      </c>
    </row>
    <row r="12">
      <c r="A12" t="inlineStr">
        <is>
          <t>Veracode Dynamic Analysis</t>
        </is>
      </c>
      <c r="B12" s="6">
        <f>IF('veracode'!E38=0,"Pending",'veracode'!C38/'veracode'!E38*5)</f>
        <v/>
      </c>
      <c r="C12" s="6">
        <f>IF('veracode'!E39=0,"Pending",'veracode'!C39/'veracode'!E39*5)</f>
        <v/>
      </c>
      <c r="D12" s="6">
        <f>IF('veracode'!E40=0,"Pending",'veracode'!C40/'veracode'!E40*5)</f>
        <v/>
      </c>
      <c r="E12" s="6">
        <f>IF('veracode'!E41=0,"Pending",'veracode'!C41/'veracode'!E41*5)</f>
        <v/>
      </c>
      <c r="F12" s="6">
        <f>IF('veracode'!E42=0,"Pending",'veracode'!C42/'veracode'!E42*5)</f>
        <v/>
      </c>
      <c r="G12" s="6">
        <f>IF('veracode'!E43=0,"Pending",'veracode'!C43/'veracode'!E43*5)</f>
        <v/>
      </c>
      <c r="H12" s="6">
        <f>IF('veracode'!E44=0,"Pending",'veracode'!C44/'veracode'!E44*5)</f>
        <v/>
      </c>
      <c r="I12">
        <f>'veracode'!D44</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8E44AD"/>
    <outlinePr summaryBelow="1" summaryRight="1"/>
    <pageSetUpPr/>
  </sheetPr>
  <dimension ref="A1:C10"/>
  <sheetViews>
    <sheetView workbookViewId="0">
      <selection activeCell="A1" sqref="A1"/>
    </sheetView>
  </sheetViews>
  <sheetFormatPr baseColWidth="8" defaultRowHeight="15"/>
  <cols>
    <col width="8" customWidth="1" min="1" max="1"/>
    <col width="28" customWidth="1" min="2" max="2"/>
    <col width="28" customWidth="1" min="3" max="3"/>
  </cols>
  <sheetData>
    <row r="1" ht="28" customHeight="1">
      <c r="A1" s="1" t="inlineStr">
        <is>
          <t>Reviewers</t>
        </is>
      </c>
    </row>
    <row r="3">
      <c r="A3" t="inlineStr">
        <is>
          <t>Claim a slot by filling in your name and role below — it appears automatically on every vendor tab.</t>
        </is>
      </c>
    </row>
    <row r="4">
      <c r="A4" t="inlineStr">
        <is>
          <t>Please don't overwrite an existing reviewer's name/role — you may be reassigning someone else's already-entered scores to yourself.</t>
        </is>
      </c>
    </row>
    <row r="5" ht="20" customHeight="1">
      <c r="A5" s="3" t="inlineStr">
        <is>
          <t>Slot</t>
        </is>
      </c>
      <c r="B5" s="3" t="inlineStr">
        <is>
          <t>Name</t>
        </is>
      </c>
      <c r="C5" s="3" t="inlineStr">
        <is>
          <t>Role / Title</t>
        </is>
      </c>
    </row>
    <row r="6">
      <c r="A6" s="7" t="n">
        <v>1</v>
      </c>
      <c r="B6" s="8" t="n"/>
      <c r="C6" s="8" t="n"/>
    </row>
    <row r="7">
      <c r="A7" s="9" t="n">
        <v>2</v>
      </c>
      <c r="B7" s="10" t="n"/>
      <c r="C7" s="10" t="n"/>
    </row>
    <row r="8">
      <c r="A8" s="7" t="n">
        <v>3</v>
      </c>
      <c r="B8" s="8" t="n"/>
      <c r="C8" s="8" t="n"/>
    </row>
    <row r="9">
      <c r="A9" s="9" t="n">
        <v>4</v>
      </c>
      <c r="B9" s="10" t="n"/>
      <c r="C9" s="10" t="n"/>
    </row>
    <row r="10">
      <c r="A10" s="7" t="n">
        <v>5</v>
      </c>
      <c r="B10" s="8" t="n"/>
      <c r="C10" s="8"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3.xml><?xml version="1.0" encoding="utf-8"?>
<worksheet xmlns="http://schemas.openxmlformats.org/spreadsheetml/2006/main">
  <sheetPr>
    <tabColor rgb="002E86AB"/>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Invicti</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4</v>
      </c>
      <c r="E4" s="12" t="inlineStr">
        <is>
          <r>
            <t xml:space="preserve">VENDOR CLAIM, not independently verified: Proof-Based Scanning claims 99.98% detection accuracy. Source: </t>
          </r>
          <r>
            <rPr>
              <color rgb="000563C1"/>
              <u val="single"/>
            </rPr>
            <t>invicti.com/features/proof-based-scanning</t>
          </r>
        </is>
      </c>
      <c r="F4" s="11" t="inlineStr">
        <is>
          <t>paper</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Authentication &amp; Session Handling</t>
        </is>
      </c>
      <c r="B5" s="16" t="inlineStr">
        <is>
          <t>Coverage</t>
        </is>
      </c>
      <c r="C5" s="17" t="n">
        <v>6</v>
      </c>
      <c r="D5" s="17" t="n">
        <v>4</v>
      </c>
      <c r="E5" s="18" t="inlineStr">
        <is>
          <r>
            <t xml:space="preserve">Supports API Key, Bearer Token, JWT, Basic Auth, and OAuth 2.0; explicit messaging on handling SSO/MFA for thorough authenticated testing. Source: </t>
          </r>
          <r>
            <rPr>
              <color rgb="000563C1"/>
              <u val="single"/>
            </rPr>
            <t>invicti.com/features/api-security-testing</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auth-session-handling</t>
        </is>
      </c>
      <c r="AA5" s="22" t="n">
        <v>0</v>
      </c>
      <c r="AB5" s="22">
        <f>IF(ISBLANK(V5),D5,V5)</f>
        <v/>
      </c>
    </row>
    <row r="6">
      <c r="A6" s="11" t="inlineStr">
        <is>
          <t>Safe Production Scanning</t>
        </is>
      </c>
      <c r="B6" s="11" t="inlineStr">
        <is>
          <t>Production Safety &amp; Operability</t>
        </is>
      </c>
      <c r="C6" s="6" t="n">
        <v>6</v>
      </c>
      <c r="D6" s="6" t="n">
        <v>3</v>
      </c>
      <c r="E6" s="12" t="inlineStr">
        <is>
          <t>No explicit passive-only/rate-limited safe-mode messaging found in public materials, though Proof-Based Scanning's non-destructive verification implies some inherent caution -- inferred, moderate confidence.</t>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safe-prod-scanning</t>
        </is>
      </c>
      <c r="AA6" t="n">
        <v>0</v>
      </c>
      <c r="AB6">
        <f>IF(ISBLANK(V6),D6,V6)</f>
        <v/>
      </c>
    </row>
    <row r="7">
      <c r="A7" s="16" t="inlineStr">
        <is>
          <t>API/SPA Coverage</t>
        </is>
      </c>
      <c r="B7" s="16" t="inlineStr">
        <is>
          <t>Coverage</t>
        </is>
      </c>
      <c r="C7" s="17" t="n">
        <v>5</v>
      </c>
      <c r="D7" s="17" t="n">
        <v>4.5</v>
      </c>
      <c r="E7" s="18" t="inlineStr">
        <is>
          <r>
            <t xml:space="preserve">Full browser-engine crawling accurately scans SPAs (jQuery/AngularJS), executing JS and parsing dynamic elements; REST/SOAP/GraphQL support with automatic schema/introspection discovery even without an imported schema. Source: </t>
          </r>
          <r>
            <rPr>
              <color rgb="000563C1"/>
              <u val="single"/>
            </rPr>
            <t>invicti.com/support/scanning-graphql-api</t>
          </r>
          <r>
            <t>, invicti.com/features/advanced-website-crawling-technologies</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api-spa-coverage</t>
        </is>
      </c>
      <c r="AA7" s="22" t="n">
        <v>0</v>
      </c>
      <c r="AB7" s="22">
        <f>IF(ISBLANK(V7),D7,V7)</f>
        <v/>
      </c>
    </row>
    <row r="8">
      <c r="A8" s="11" t="inlineStr">
        <is>
          <t>CI/CD-Native Fit</t>
        </is>
      </c>
      <c r="B8" s="11" t="inlineStr">
        <is>
          <t>Production Safety &amp; Operability</t>
        </is>
      </c>
      <c r="C8" s="6" t="n">
        <v>5</v>
      </c>
      <c r="D8" s="6" t="n">
        <v>5</v>
      </c>
      <c r="E8" s="12" t="inlineStr">
        <is>
          <r>
            <t xml:space="preserve">Native integration across GitHub Actions, Jenkins, GitLab CI, Azure DevOps, CircleCI, Bamboo, TeamCity, and Bitbucket Pipelines via a Docker-based scan-cli container configured entirely through environment variables; explicit exit-code-based build-gating and branch-protection/deployment-gate workflows. Source: </t>
          </r>
          <r>
            <rPr>
              <color rgb="000563C1"/>
              <u val="single"/>
            </rPr>
            <t>invicti.com/support/integrating-invicti-enterprise-github-actions</t>
          </r>
          <r>
            <t>, invicti.com/blog/web-security/api-security-testing-cicd-integration</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cicd-native-fit</t>
        </is>
      </c>
      <c r="AA8" t="n">
        <v>0</v>
      </c>
      <c r="AB8">
        <f>IF(ISBLANK(V8),D8,V8)</f>
        <v/>
      </c>
    </row>
    <row r="9">
      <c r="A9" s="16" t="inlineStr">
        <is>
          <t>Deployment Model &amp; Data Residency</t>
        </is>
      </c>
      <c r="B9" s="16" t="inlineStr">
        <is>
          <t>Deployment &amp; Data Governance</t>
        </is>
      </c>
      <c r="C9" s="17" t="n">
        <v>5</v>
      </c>
      <c r="D9" s="17" t="n">
        <v>4.5</v>
      </c>
      <c r="E9" s="18" t="inlineStr">
        <is>
          <r>
            <t xml:space="preserve">Three deployment options: cloud-hosted, on-premises, and hybrid; on-prem supports fully air-gapped networks with no internet connectivity and explicit HIPAA/PCI-DSS/GDPR data-residency compliance. Source: </t>
          </r>
          <r>
            <rPr>
              <color rgb="000563C1"/>
              <u val="single"/>
            </rPr>
            <t>invicti.com/pci-asv-scanner</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deployment-model-data-residency</t>
        </is>
      </c>
      <c r="AA9" s="22" t="n">
        <v>0</v>
      </c>
      <c r="AB9" s="22">
        <f>IF(ISBLANK(V9),D9,V9)</f>
        <v/>
      </c>
    </row>
    <row r="10">
      <c r="A10" s="11" t="inlineStr">
        <is>
          <t>Legacy Application &amp; Protocol Support</t>
        </is>
      </c>
      <c r="B10" s="11" t="inlineStr">
        <is>
          <t>Coverage</t>
        </is>
      </c>
      <c r="C10" s="6" t="n">
        <v>5</v>
      </c>
      <c r="D10" s="6" t="n">
        <v>3</v>
      </c>
      <c r="E10" s="12" t="inlineStr">
        <is>
          <t>SOAP API scanning explicitly supported; no legacy-framework-specific (ASP WebForms/JSP) accuracy claims found beyond general protocol coverage.</t>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legacy-app-protocol-support</t>
        </is>
      </c>
      <c r="AA10" t="n">
        <v>0</v>
      </c>
      <c r="AB10">
        <f>IF(ISBLANK(V10),D10,V10)</f>
        <v/>
      </c>
    </row>
    <row r="11">
      <c r="A11" s="16" t="inlineStr">
        <is>
          <t>Business Logic &amp; Workflow Vulnerability Detection</t>
        </is>
      </c>
      <c r="B11" s="16" t="inlineStr">
        <is>
          <t>Coverage</t>
        </is>
      </c>
      <c r="C11" s="17" t="n">
        <v>4</v>
      </c>
      <c r="D11" s="17" t="n">
        <v>4</v>
      </c>
      <c r="E11" s="18" t="inlineStr">
        <is>
          <r>
            <t xml:space="preserve">Named 'Business Logic Recorder' (BLR) for multi-step workflow/form testing, plus stateful API scanning maintaining auth/session context across multi-step API calls to catch BOLA/BFLA. Not a full 5: BLR's own docs note different recordings don't rely on/sequence with one another, limiting true cross-recording attack chains. Source: </t>
          </r>
          <r>
            <rPr>
              <color rgb="000563C1"/>
              <u val="single"/>
            </rPr>
            <t>docs.invicti.com/ie-is/business-logic-recorder-invicti</t>
          </r>
          <r>
            <t>, invicti.com/blog/web-security/automate-api-security-testing</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business-logic-workflow-detection</t>
        </is>
      </c>
      <c r="AA11" s="22" t="n">
        <v>0</v>
      </c>
      <c r="AB11" s="22">
        <f>IF(ISBLANK(V11),D11,V11)</f>
        <v/>
      </c>
    </row>
    <row r="12">
      <c r="A12" s="11" t="inlineStr">
        <is>
          <t>Compliance &amp; Standards Mapping</t>
        </is>
      </c>
      <c r="B12" s="11" t="inlineStr">
        <is>
          <t>Detection Quality</t>
        </is>
      </c>
      <c r="C12" s="6" t="n">
        <v>4</v>
      </c>
      <c r="D12" s="6" t="n">
        <v>4.5</v>
      </c>
      <c r="E12" s="12" t="inlineStr">
        <is>
          <r>
            <t xml:space="preserve">Built-in compliance reporting for PCI DSS, ISO 27001, HIPAA, and SOC 2; PCI DSS reports explicitly show which findings violate specific control sections. Source: </t>
          </r>
          <r>
            <rPr>
              <color rgb="000563C1"/>
              <u val="single"/>
            </rPr>
            <t>invicti.com/blog/web-security/how-dast-supports-compliance-pci-dss-iso27001-hipaa-soc2</t>
          </r>
        </is>
      </c>
      <c r="F12" s="11" t="inlineStr">
        <is>
          <t>paper</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compliance-standards-mapping</t>
        </is>
      </c>
      <c r="AA12" t="n">
        <v>0</v>
      </c>
      <c r="AB12">
        <f>IF(ISBLANK(V12),D12,V12)</f>
        <v/>
      </c>
    </row>
    <row r="13">
      <c r="A13" s="16" t="inlineStr">
        <is>
          <t>Noise / False-Positive Rate</t>
        </is>
      </c>
      <c r="B13" s="16" t="inlineStr">
        <is>
          <t>Detection Quality</t>
        </is>
      </c>
      <c r="C13" s="17" t="n">
        <v>4</v>
      </c>
      <c r="D13" s="17" t="n">
        <v>4.5</v>
      </c>
      <c r="E13" s="18" t="inlineStr">
        <is>
          <r>
            <t xml:space="preserve">Proof-Based Scanning automatically re-exploits detected vulnerabilities in a safe way to confirm they're real (not theoretical), specifically designed to eliminate false positives before they reach a triage queue. Source: </t>
          </r>
          <r>
            <rPr>
              <color rgb="000563C1"/>
              <u val="single"/>
            </rPr>
            <t>invicti.com/features/proof-based-scanning</t>
          </r>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false-positive-rate</t>
        </is>
      </c>
      <c r="AA13" s="22" t="n">
        <v>0</v>
      </c>
      <c r="AB13" s="22">
        <f>IF(ISBLANK(V13),D13,V13)</f>
        <v/>
      </c>
    </row>
    <row r="14">
      <c r="A14" s="11" t="inlineStr">
        <is>
          <t>Shadow/Zombie API Discovery</t>
        </is>
      </c>
      <c r="B14" s="11" t="inlineStr">
        <is>
          <t>Coverage</t>
        </is>
      </c>
      <c r="C14" s="6" t="n">
        <v>4</v>
      </c>
      <c r="D14" s="6" t="n">
        <v>4</v>
      </c>
      <c r="E14" s="12" t="inlineStr">
        <is>
          <r>
            <t xml:space="preserve">Dedicated API Discovery product feature for surfacing undocumented/shadow APIs. Source: </t>
          </r>
          <r>
            <rPr>
              <color rgb="000563C1"/>
              <u val="single"/>
            </rPr>
            <t>invicti.com/solutions/api-discovery</t>
          </r>
        </is>
      </c>
      <c r="F14" s="11" t="inlineStr">
        <is>
          <t>paper</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shadow-api-discovery</t>
        </is>
      </c>
      <c r="AA14" t="n">
        <v>0</v>
      </c>
      <c r="AB14">
        <f>IF(ISBLANK(V14),D14,V14)</f>
        <v/>
      </c>
    </row>
    <row r="15">
      <c r="A15" s="16" t="inlineStr">
        <is>
          <t>Triage &amp; Remediation Guidance</t>
        </is>
      </c>
      <c r="B15" s="16" t="inlineStr">
        <is>
          <t>Developer Experience</t>
        </is>
      </c>
      <c r="C15" s="17" t="n">
        <v>4</v>
      </c>
      <c r="D15" s="17" t="n">
        <v>4.5</v>
      </c>
      <c r="E15" s="18" t="inlineStr">
        <is>
          <r>
            <t xml:space="preserve">AI-driven remediation guidance delivers code-level fix suggestions tailored to the specific finding, in context, rather than generic secure-coding advice. Source: </t>
          </r>
          <r>
            <rPr>
              <color rgb="000563C1"/>
              <u val="single"/>
            </rPr>
            <t>invicti.com/features/developer-guidance</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triage-remediation-guidance</t>
        </is>
      </c>
      <c r="AA15" s="22" t="n">
        <v>0</v>
      </c>
      <c r="AB15" s="22">
        <f>IF(ISBLANK(V15),D15,V15)</f>
        <v/>
      </c>
    </row>
    <row r="16">
      <c r="A16" s="11" t="inlineStr">
        <is>
          <t>Vulnerability Status Management</t>
        </is>
      </c>
      <c r="B16" s="11" t="inlineStr">
        <is>
          <t>Reporting &amp; Extensibility</t>
        </is>
      </c>
      <c r="C16" s="6" t="n">
        <v>4</v>
      </c>
      <c r="D16" s="6" t="n">
        <v>4.5</v>
      </c>
      <c r="E16" s="12" t="inlineStr">
        <is>
          <r>
            <t xml:space="preserve">Full finding-lifecycle workflow: auto-assignment, audit-ready triage/remediation visibility, and automatic re-test-and-close on confirmed fix. Source: </t>
          </r>
          <r>
            <rPr>
              <color rgb="000563C1"/>
              <u val="single"/>
            </rPr>
            <t>invicti.com/features/automate-remediation-workflows</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vulnerability-status-management</t>
        </is>
      </c>
      <c r="AA16" t="n">
        <v>0</v>
      </c>
      <c r="AB16">
        <f>IF(ISBLANK(V16),D16,V16)</f>
        <v/>
      </c>
    </row>
    <row r="17">
      <c r="A17" s="16" t="inlineStr">
        <is>
          <t>Automated Triage / FP-Reduction Engine</t>
        </is>
      </c>
      <c r="B17" s="16" t="inlineStr">
        <is>
          <t>Detection Quality</t>
        </is>
      </c>
      <c r="C17" s="17" t="n">
        <v>3</v>
      </c>
      <c r="D17" s="17" t="n">
        <v>5</v>
      </c>
      <c r="E17" s="18" t="inlineStr">
        <is>
          <r>
            <t xml:space="preserve">Proof-Based Scanning is itself an automated-triage mechanism -- it auto-confirms exploitability via safe re-exploitation, the strongest fit of any candidate evaluated for this criterion since it's the product's central design principle, not an add-on feature. Source: </t>
          </r>
          <r>
            <rPr>
              <color rgb="000563C1"/>
              <u val="single"/>
            </rPr>
            <t>invicti.com/features/proof-based-scanning</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automated-triage-fp-reduction</t>
        </is>
      </c>
      <c r="AA17" s="22" t="n">
        <v>0</v>
      </c>
      <c r="AB17" s="22">
        <f>IF(ISBLANK(V17),D17,V17)</f>
        <v/>
      </c>
    </row>
    <row r="18">
      <c r="A18" s="11" t="inlineStr">
        <is>
          <t>Predictability of Licensing Model</t>
        </is>
      </c>
      <c r="B18" s="11" t="inlineStr">
        <is>
          <t>Deployment &amp; Data Governance</t>
        </is>
      </c>
      <c r="C18" s="6" t="n">
        <v>3</v>
      </c>
      <c r="D18" s="6" t="n">
        <v>3.5</v>
      </c>
      <c r="E18" s="12" t="inlineStr">
        <is>
          <t>Licensed per-target (web app, API endpoint, or defined URL scope) across Standard/Premium/Enterprise tiers -- a clear, transparent axis, but Enterprise-tier pricing is fully customized/contact-sales, and approximate price ranges ($4k-6k Standard, $7k-12k Premium per target/year) come from third-party pricing aggregators, not Invicti's own published pricing page.</t>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licensing-model-predictability</t>
        </is>
      </c>
      <c r="AA18" t="n">
        <v>0</v>
      </c>
      <c r="AB18">
        <f>IF(ISBLANK(V18),D18,V18)</f>
        <v/>
      </c>
    </row>
    <row r="19">
      <c r="A19" s="16" t="inlineStr">
        <is>
          <t>Multi-Tenancy &amp; Access Control</t>
        </is>
      </c>
      <c r="B19" s="16" t="inlineStr">
        <is>
          <t>Deployment &amp; Data Governance</t>
        </is>
      </c>
      <c r="C19" s="17" t="n">
        <v>3</v>
      </c>
      <c r="D19" s="17" t="n">
        <v>4</v>
      </c>
      <c r="E19" s="18" t="inlineStr">
        <is>
          <t>Role-based access control explicitly marketed as part of its enterprise-focused platform, described as 'broader RBAC' relative to smaller competitors; audit-log capability not independently confirmed.</t>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multi-tenancy-access-control</t>
        </is>
      </c>
      <c r="AA19" s="22" t="n">
        <v>0</v>
      </c>
      <c r="AB19" s="22">
        <f>IF(ISBLANK(V19),D19,V19)</f>
        <v/>
      </c>
    </row>
    <row r="20">
      <c r="A20" s="11" t="inlineStr">
        <is>
          <t>Setup &amp; Onboarding Friction</t>
        </is>
      </c>
      <c r="B20" s="11" t="inlineStr">
        <is>
          <t>Developer Experience</t>
        </is>
      </c>
      <c r="C20" s="6" t="n">
        <v>3</v>
      </c>
      <c r="D20" s="6" t="n">
        <v>3</v>
      </c>
      <c r="E20" s="12" t="inlineStr">
        <is>
          <t>Enterprise-platform positioning (dedicated account management, custom SLAs, on-prem deployment options) implies moderate setup complexity, more involved than a single docker-pull tool -- inferred from tier positioning, no explicit onboarding-time claim found.</t>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setup-onboarding-friction</t>
        </is>
      </c>
      <c r="AA20" t="n">
        <v>0</v>
      </c>
      <c r="AB20">
        <f>IF(ISBLANK(V20),D20,V20)</f>
        <v/>
      </c>
    </row>
    <row r="21">
      <c r="A21" s="16" t="inlineStr">
        <is>
          <t>Traditional Stateful Web Crawling</t>
        </is>
      </c>
      <c r="B21" s="16" t="inlineStr">
        <is>
          <t>Coverage</t>
        </is>
      </c>
      <c r="C21" s="17" t="n">
        <v>3</v>
      </c>
      <c r="D21" s="17" t="n">
        <v>4</v>
      </c>
      <c r="E21" s="18" t="inlineStr">
        <is>
          <r>
            <t xml:space="preserve">Marketed advanced crawling technology built around a full browser engine, explicitly positioned to 'crawl where other vulnerability scanners can't,' designed for full application coverage of static and dynamic elements. Source: </t>
          </r>
          <r>
            <rPr>
              <color rgb="000563C1"/>
              <u val="single"/>
            </rPr>
            <t>invicti.com/features/advanced-website-crawling-technologies</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stateful-web-crawling</t>
        </is>
      </c>
      <c r="AA21" s="22" t="n">
        <v>0</v>
      </c>
      <c r="AB21" s="22">
        <f>IF(ISBLANK(V21),D21,V21)</f>
        <v/>
      </c>
    </row>
    <row r="22">
      <c r="A22" s="11" t="inlineStr">
        <is>
          <t>Vendor Security Posture</t>
        </is>
      </c>
      <c r="B22" s="11" t="inlineStr">
        <is>
          <t>Deployment &amp; Data Governance</t>
        </is>
      </c>
      <c r="C22" s="6" t="n">
        <v>3</v>
      </c>
      <c r="D22" s="6" t="n">
        <v>4.5</v>
      </c>
      <c r="E22" s="12" t="inlineStr">
        <is>
          <r>
            <t xml:space="preserve">Real, verified certifications: SOC 2 Type 2 report, ISO 27001:2022 accreditation (announced via press release, not just self-claimed), and PCI DSS -- best independently-verifiable posture of any candidate evaluated so far. Source: </t>
          </r>
          <r>
            <rPr>
              <color rgb="000563C1"/>
              <u val="single"/>
            </rPr>
            <t>invicti.com/compliance</t>
          </r>
          <r>
            <t>, invicti.com/blog/news/invicti-security-achieves-iso-27001-2022-accreditation-for-all-products</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vendor-security-posture</t>
        </is>
      </c>
      <c r="AA22" t="n">
        <v>0</v>
      </c>
      <c r="AB22">
        <f>IF(ISBLANK(V22),D22,V22)</f>
        <v/>
      </c>
    </row>
    <row r="23">
      <c r="A23" s="16" t="inlineStr">
        <is>
          <t>Sensitive Financial Data Exposure Detection</t>
        </is>
      </c>
      <c r="B23" s="16" t="inlineStr">
        <is>
          <t>Detection Quality</t>
        </is>
      </c>
      <c r="C23" s="17" t="n">
        <v>2</v>
      </c>
      <c r="D23" s="17" t="n">
        <v>4</v>
      </c>
      <c r="E23" s="18" t="inlineStr">
        <is>
          <r>
            <t xml:space="preserve">Dedicated, named vulnerability checks: 'Credit Card Disclosure' and 'Social Security Number Disclosure', each with CWE/OWASP/PCI mappings -- covers card PANs and SSNs as real named detections. No dedicated bank account/routing-number check found. Source: </t>
          </r>
          <r>
            <rPr>
              <color rgb="000563C1"/>
              <u val="single"/>
            </rPr>
            <t>invicti.com/web-vulnerability-scanner/vulnerabilities/credit-card-disclosure</t>
          </r>
          <r>
            <t>, invicti.com/web-vulnerability-scanner/vulnerabilities/social-security-number-disclosure</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sensitive-financial-data-exposure</t>
        </is>
      </c>
      <c r="AA23" s="22" t="n">
        <v>0</v>
      </c>
      <c r="AB23" s="22">
        <f>IF(ISBLANK(V23),D23,V23)</f>
        <v/>
      </c>
    </row>
    <row r="24">
      <c r="A24" s="11" t="inlineStr">
        <is>
          <t>ASPM Integration</t>
        </is>
      </c>
      <c r="B24" s="11" t="inlineStr">
        <is>
          <t>Reporting &amp; Extensibility</t>
        </is>
      </c>
      <c r="C24" s="6" t="n">
        <v>2</v>
      </c>
      <c r="D24" s="6" t="n">
        <v>5</v>
      </c>
      <c r="E24" s="12" t="inlineStr">
        <is>
          <r>
            <t xml:space="preserve">Invicti acquired Kondukto and now offers a dedicated ASPM product line (Invicti ASPM) -- owns an ASPM platform outright rather than merely integrating with a third-party one, the strongest possible fit for this criterion. Source: </t>
          </r>
          <r>
            <rPr>
              <color rgb="000563C1"/>
              <u val="single"/>
            </rPr>
            <t>invicti.com</t>
          </r>
          <r>
            <t>, appsecsanta.com/invicti-aspm</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aspm-integration</t>
        </is>
      </c>
      <c r="AA24" t="n">
        <v>0</v>
      </c>
      <c r="AB24">
        <f>IF(ISBLANK(V24),D24,V24)</f>
        <v/>
      </c>
    </row>
    <row r="25">
      <c r="A25" s="16" t="inlineStr">
        <is>
          <t>Finding Validation / Proof-of-Exploit</t>
        </is>
      </c>
      <c r="B25" s="16" t="inlineStr">
        <is>
          <t>Detection Quality</t>
        </is>
      </c>
      <c r="C25" s="17" t="n">
        <v>2</v>
      </c>
      <c r="D25" s="17" t="n">
        <v>5</v>
      </c>
      <c r="E25" s="18" t="inlineStr">
        <is>
          <r>
            <t xml:space="preserve">Proof-Based Scanning is the product's core differentiator: automatically and safely re-exploits every detected vulnerability to produce a proof of exploit, directly matching this criterion's top anchor. Source: </t>
          </r>
          <r>
            <rPr>
              <color rgb="000563C1"/>
              <u val="single"/>
            </rPr>
            <t>invicti.com/features/proof-based-scanning</t>
          </r>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finding-validation-proof-of-exploit</t>
        </is>
      </c>
      <c r="AA25" s="22" t="n">
        <v>0</v>
      </c>
      <c r="AB25" s="22">
        <f>IF(ISBLANK(V25),D25,V25)</f>
        <v/>
      </c>
    </row>
    <row r="26">
      <c r="A26" s="11" t="inlineStr">
        <is>
          <t>Historical Risk Trend Dashboards</t>
        </is>
      </c>
      <c r="B26" s="11" t="inlineStr">
        <is>
          <t>Reporting &amp; Extensibility</t>
        </is>
      </c>
      <c r="C26" s="6" t="n">
        <v>2</v>
      </c>
      <c r="D26" s="6" t="n">
        <v>4.5</v>
      </c>
      <c r="E26" s="12" t="inlineStr">
        <is>
          <r>
            <t xml:space="preserve">Explicit executive dashboards tracking long-term performance trends and ROI of security initiatives, plus audit-ready visibility into triage/remediation/developer progress across quarters. Source: </t>
          </r>
          <r>
            <rPr>
              <color rgb="000563C1"/>
              <u val="single"/>
            </rPr>
            <t>invicti.com/features/automate-remediation-workflows</t>
          </r>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historical-risk-trend-dashboards</t>
        </is>
      </c>
      <c r="AA26" t="n">
        <v>0</v>
      </c>
      <c r="AB26">
        <f>IF(ISBLANK(V26),D26,V26)</f>
        <v/>
      </c>
    </row>
    <row r="27">
      <c r="A27" s="16" t="inlineStr">
        <is>
          <t>Reporting Quality / Exportability</t>
        </is>
      </c>
      <c r="B27" s="16" t="inlineStr">
        <is>
          <t>Reporting &amp; Extensibility</t>
        </is>
      </c>
      <c r="C27" s="17" t="n">
        <v>2</v>
      </c>
      <c r="D27" s="17" t="n">
        <v>4.5</v>
      </c>
      <c r="E27" s="18" t="inlineStr">
        <is>
          <r>
            <t xml:space="preserve">Tailored dashboards for executives, AppSec engineers, and developers; audit-ready visibility into triage/remediation progress; integrates with 50+ tools including Jira, Slack, ServiceNow. Source: </t>
          </r>
          <r>
            <rPr>
              <color rgb="000563C1"/>
              <u val="single"/>
            </rPr>
            <t>invicti.com/features/automate-remediation-workflows</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reporting-exportability</t>
        </is>
      </c>
      <c r="AA27" s="22" t="n">
        <v>0</v>
      </c>
      <c r="AB27" s="22">
        <f>IF(ISBLANK(V27),D27,V27)</f>
        <v/>
      </c>
    </row>
    <row r="28">
      <c r="A28" s="11" t="inlineStr">
        <is>
          <t>Scan Performance &amp; Scalability</t>
        </is>
      </c>
      <c r="B28" s="11" t="inlineStr">
        <is>
          <t>Production Safety &amp; Operability</t>
        </is>
      </c>
      <c r="C28" s="6" t="n">
        <v>2</v>
      </c>
      <c r="D28" s="6" t="n">
        <v>3</v>
      </c>
      <c r="E28" s="12" t="inlineStr">
        <is>
          <t>Enterprise tier implies scale (unlimited seats, custom SLAs, dedicated account management) but no explicit scan-speed or concurrency benchmark found in public materials -- inferred from tier positioning.</t>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scan-performance-scalability</t>
        </is>
      </c>
      <c r="AA28" t="n">
        <v>0</v>
      </c>
      <c r="AB28">
        <f>IF(ISBLANK(V28),D28,V28)</f>
        <v/>
      </c>
    </row>
    <row r="29">
      <c r="A29" s="16" t="inlineStr">
        <is>
          <t>Ticketing &amp; Collaboration Integration</t>
        </is>
      </c>
      <c r="B29" s="16" t="inlineStr">
        <is>
          <t>Reporting &amp; Extensibility</t>
        </is>
      </c>
      <c r="C29" s="17" t="n">
        <v>2</v>
      </c>
      <c r="D29" s="17" t="n">
        <v>5</v>
      </c>
      <c r="E29" s="18" t="inlineStr">
        <is>
          <r>
            <t xml:space="preserve">Automatically confirms vulnerabilities, creates detailed tickets in Jira and other trackers, assigns to the correct developer, and re-tests/auto-closes the ticket once the fix is marked complete -- a full bidirectional lifecycle, matching this criterion's top anchor. Source: </t>
          </r>
          <r>
            <rPr>
              <color rgb="000563C1"/>
              <u val="single"/>
            </rPr>
            <t>invicti.com</t>
          </r>
          <r>
            <t xml:space="preserve"> pricing/integration materials</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ticketing-collaboration-integration</t>
        </is>
      </c>
      <c r="AA29" s="22" t="n">
        <v>0</v>
      </c>
      <c r="AB29" s="22">
        <f>IF(ISBLANK(V29),D29,V29)</f>
        <v/>
      </c>
    </row>
    <row r="30">
      <c r="A30" s="11" t="inlineStr">
        <is>
          <t>Extensibility / Custom Rules</t>
        </is>
      </c>
      <c r="B30" s="11" t="inlineStr">
        <is>
          <t>Reporting &amp; Extensibility</t>
        </is>
      </c>
      <c r="C30" s="6" t="n">
        <v>1</v>
      </c>
      <c r="D30" s="6" t="n">
        <v>5</v>
      </c>
      <c r="E30" s="12" t="inlineStr">
        <is>
          <r>
            <t>Custom Security Checks via Scripting: JavaScript-based system supporting active/passive/singular/per-directory check types with helper functions (</t>
          </r>
          <r>
            <rPr>
              <color rgb="000563C1"/>
              <u val="single"/>
            </rPr>
            <t>netsparker.request</t>
          </r>
          <r>
            <t>(), logging APIs) and a public GitHub sample repo with API reference -- no vendor involvement required. Source: docs.invicti.com/ie-is/custom-security-checks-via-scripting, github.com/Invicti-Security/netsparker-custom-security-checks</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extensibility-custom-rules</t>
        </is>
      </c>
      <c r="AA30" t="n">
        <v>0</v>
      </c>
      <c r="AB30">
        <f>IF(ISBLANK(V30),D30,V30)</f>
        <v/>
      </c>
    </row>
    <row r="31">
      <c r="A31" s="16" t="inlineStr">
        <is>
          <t>IDE / Local Developer Tooling</t>
        </is>
      </c>
      <c r="B31" s="16" t="inlineStr">
        <is>
          <t>Developer Experience</t>
        </is>
      </c>
      <c r="C31" s="17" t="n">
        <v>1</v>
      </c>
      <c r="D31" s="17" t="n">
        <v>3</v>
      </c>
      <c r="E31" s="18" t="inlineStr">
        <is>
          <r>
            <t xml:space="preserve">Scan CLI (Docker, invicti/scan-cli) and legacy </t>
          </r>
          <r>
            <rPr>
              <color rgb="000563C1"/>
              <u val="single"/>
            </rPr>
            <t>netsparker.exe</t>
          </r>
          <r>
            <t xml:space="preserve"> CLI runnable locally, matching rubric-3. No true IDE plugin found -- the one 'VS Code' Marketplace listing (InvictiLtd.netsparker-cloud-extension) is actually an Azure DevOps/Pipelines extension triggering remote cloud scans, not an in-editor plugin. Source: docs.invicti.com/ie-is/command-line-interface, hub.docker.com/r/invicti/scan-cli</t>
          </r>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ide-local-dev-tooling</t>
        </is>
      </c>
      <c r="AA31" s="22" t="n">
        <v>0</v>
      </c>
      <c r="AB31" s="22">
        <f>IF(ISBLANK(V31),D31,V31)</f>
        <v/>
      </c>
    </row>
    <row r="32">
      <c r="A32" s="11" t="inlineStr">
        <is>
          <t>Third-Party/Partner API Risk Assessment</t>
        </is>
      </c>
      <c r="B32" s="11" t="inlineStr">
        <is>
          <t>Coverage</t>
        </is>
      </c>
      <c r="C32" s="6" t="n">
        <v>1</v>
      </c>
      <c r="D32" s="6" t="n">
        <v>2</v>
      </c>
      <c r="E32" s="12" t="inlineStr">
        <is>
          <t>No dedicated vendor-risk-assessment output shaping for partner-facing APIs found in public materials -- inferred absence.</t>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third-party-partner-api-risk</t>
        </is>
      </c>
      <c r="AA32" t="n">
        <v>0</v>
      </c>
      <c r="AB32">
        <f>IF(ISBLANK(V32),D32,V32)</f>
        <v/>
      </c>
    </row>
    <row r="33">
      <c r="A33" s="16" t="inlineStr">
        <is>
          <t>Asset Discovery &amp; Inventory Tracking</t>
        </is>
      </c>
      <c r="B33" s="16" t="inlineStr">
        <is>
          <t>Coverage</t>
        </is>
      </c>
      <c r="C33" s="17" t="n">
        <v>1</v>
      </c>
      <c r="D33" s="17" t="n">
        <v>3.5</v>
      </c>
      <c r="E33" s="18" t="inlineStr">
        <is>
          <r>
            <t xml:space="preserve">API Discovery feature plus Kondukto ASPM acquisition aggregates asset/risk data across scanners -- discovers known apps/APIs within the org's ecosystem, not confirmed as network-based unknown-asset discovery like a dedicated ASM tool. Source: </t>
          </r>
          <r>
            <rPr>
              <color rgb="000563C1"/>
              <u val="single"/>
            </rPr>
            <t>invicti.com/solutions/api-discovery</t>
          </r>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asset-discovery-inventory</t>
        </is>
      </c>
      <c r="AA33" s="22" t="n">
        <v>0</v>
      </c>
      <c r="AB33" s="22">
        <f>IF(ISBLANK(V33),D33,V33)</f>
        <v/>
      </c>
    </row>
    <row r="34">
      <c r="A34" s="11" t="inlineStr">
        <is>
          <t>SIEM/SOAR Integration</t>
        </is>
      </c>
      <c r="B34" s="11" t="inlineStr">
        <is>
          <t>Reporting &amp; Extensibility</t>
        </is>
      </c>
      <c r="C34" s="6" t="n">
        <v>1</v>
      </c>
      <c r="D34" s="6" t="n">
        <v>3.5</v>
      </c>
      <c r="E34" s="12" t="inlineStr">
        <is>
          <t>SIEM integration mentioned generally as part of its broader toolchain integrations, but no specific named platforms (e.g. Splunk, Elasticsearch) confirmed in public materials.</t>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siem-soar-integration</t>
        </is>
      </c>
      <c r="AA34" t="n">
        <v>0</v>
      </c>
      <c r="AB34">
        <f>IF(ISBLANK(V34),D34,V34)</f>
        <v/>
      </c>
    </row>
    <row r="35">
      <c r="A35" s="16" t="inlineStr">
        <is>
          <t>Incremental / Differential Scanning</t>
        </is>
      </c>
      <c r="B35" s="16" t="inlineStr">
        <is>
          <t>Production Safety &amp; Operability</t>
        </is>
      </c>
      <c r="C35" s="17" t="n">
        <v>0</v>
      </c>
      <c r="D35" s="17" t="n">
        <v>5</v>
      </c>
      <c r="E35" s="18" t="inlineStr">
        <is>
          <r>
            <t xml:space="preserve">Named 'Incremental Scan' feature identifies new/amended URLs and attacks only pages detected since the prior scan -- automatic differential scanning, not manual scoping. Source: </t>
          </r>
          <r>
            <rPr>
              <color rgb="000563C1"/>
              <u val="single"/>
            </rPr>
            <t>docs.invicti.com/ie-is/incremental-scan-node</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incremental-differential-scanning</t>
        </is>
      </c>
      <c r="AA35" s="22" t="n">
        <v>0</v>
      </c>
      <c r="AB35" s="22">
        <f>IF(ISBLANK(V35),D35,V35)</f>
        <v/>
      </c>
    </row>
    <row r="36">
      <c r="A36" s="11" t="inlineStr">
        <is>
          <t>Auto-Remediation / Auto-PR</t>
        </is>
      </c>
      <c r="B36" s="11" t="inlineStr">
        <is>
          <t>Developer Experience</t>
        </is>
      </c>
      <c r="C36" s="6" t="n">
        <v>0</v>
      </c>
      <c r="D36" s="6" t="n">
        <v>3.5</v>
      </c>
      <c r="E36" s="12" t="inlineStr">
        <is>
          <r>
            <t xml:space="preserve">Auto-assigns confirmed vulnerabilities to developers with AI-driven fix recommendations they can apply and validate directly in their workflow, but no explicit auto-opened-PR capability confirmed. Source: </t>
          </r>
          <r>
            <rPr>
              <color rgb="000563C1"/>
              <u val="single"/>
            </rPr>
            <t>invicti.com/product/ai-powered-application-security</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auto-remediation-pr</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21" r:id="rId13"/>
    <hyperlink xmlns:r="http://schemas.openxmlformats.org/officeDocument/2006/relationships" ref="E22" r:id="rId14"/>
    <hyperlink xmlns:r="http://schemas.openxmlformats.org/officeDocument/2006/relationships" ref="E23" r:id="rId15"/>
    <hyperlink xmlns:r="http://schemas.openxmlformats.org/officeDocument/2006/relationships" ref="E24" r:id="rId16"/>
    <hyperlink xmlns:r="http://schemas.openxmlformats.org/officeDocument/2006/relationships" ref="E25" r:id="rId17"/>
    <hyperlink xmlns:r="http://schemas.openxmlformats.org/officeDocument/2006/relationships" ref="E26" r:id="rId18"/>
    <hyperlink xmlns:r="http://schemas.openxmlformats.org/officeDocument/2006/relationships" ref="E27" r:id="rId19"/>
    <hyperlink xmlns:r="http://schemas.openxmlformats.org/officeDocument/2006/relationships" ref="E29" r:id="rId20"/>
    <hyperlink xmlns:r="http://schemas.openxmlformats.org/officeDocument/2006/relationships" ref="E30" r:id="rId21"/>
    <hyperlink xmlns:r="http://schemas.openxmlformats.org/officeDocument/2006/relationships" ref="E31" r:id="rId22"/>
    <hyperlink xmlns:r="http://schemas.openxmlformats.org/officeDocument/2006/relationships" ref="E33" r:id="rId23"/>
    <hyperlink xmlns:r="http://schemas.openxmlformats.org/officeDocument/2006/relationships" ref="E35" r:id="rId24"/>
    <hyperlink xmlns:r="http://schemas.openxmlformats.org/officeDocument/2006/relationships" ref="E36" r:id="rId25"/>
  </hyperlinks>
  <pageMargins left="0.75" right="0.75" top="1" bottom="1" header="0.5" footer="0.5"/>
</worksheet>
</file>

<file path=xl/worksheets/sheet4.xml><?xml version="1.0" encoding="utf-8"?>
<worksheet xmlns="http://schemas.openxmlformats.org/spreadsheetml/2006/main">
  <sheetPr>
    <tabColor rgb="00A23B72"/>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Veracode Dynamic Analysis</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3</v>
      </c>
      <c r="E4" s="12" t="inlineStr">
        <is>
          <t>No specific detection-rate benchmark found in public materials; inferred from general enterprise reputation as an established SAST/DAST/SCA platform, not a specific accuracy claim.</t>
        </is>
      </c>
      <c r="F4" s="11" t="inlineStr">
        <is>
          <t>paper</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Authentication &amp; Session Handling</t>
        </is>
      </c>
      <c r="B5" s="16" t="inlineStr">
        <is>
          <t>Coverage</t>
        </is>
      </c>
      <c r="C5" s="17" t="n">
        <v>6</v>
      </c>
      <c r="D5" s="17" t="n">
        <v>3.5</v>
      </c>
      <c r="E5" s="18" t="inlineStr">
        <is>
          <r>
            <t xml:space="preserve">Selenium-based crawl scripts handle complex authentication and multi-step workflows; form-based login, OAuth, and API tokens supported -- but the same independent review flags complex authentication flows as a real limitation area. Source: </t>
          </r>
          <r>
            <rPr>
              <color rgb="000563C1"/>
              <u val="single"/>
            </rPr>
            <t>securityscientist.net/blog/12-questions-and-answers-about-veracode-dast</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auth-session-handling</t>
        </is>
      </c>
      <c r="AA5" s="22" t="n">
        <v>0</v>
      </c>
      <c r="AB5" s="22">
        <f>IF(ISBLANK(V5),D5,V5)</f>
        <v/>
      </c>
    </row>
    <row r="6">
      <c r="A6" s="11" t="inlineStr">
        <is>
          <t>Safe Production Scanning</t>
        </is>
      </c>
      <c r="B6" s="11" t="inlineStr">
        <is>
          <t>Production Safety &amp; Operability</t>
        </is>
      </c>
      <c r="C6" s="6" t="n">
        <v>6</v>
      </c>
      <c r="D6" s="6" t="n">
        <v>3</v>
      </c>
      <c r="E6" s="12" t="inlineStr">
        <is>
          <r>
            <t xml:space="preserve">Internal Scanning Management (ISM) enables scanning behind firewalls and in staging environments, but no explicit passive-only/rate-limited safe-mode claim for live production traffic found. Source: </t>
          </r>
          <r>
            <rPr>
              <color rgb="000563C1"/>
              <u val="single"/>
            </rPr>
            <t>veracode.com/products/dynamic-analysis-dast</t>
          </r>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safe-prod-scanning</t>
        </is>
      </c>
      <c r="AA6" t="n">
        <v>0</v>
      </c>
      <c r="AB6">
        <f>IF(ISBLANK(V6),D6,V6)</f>
        <v/>
      </c>
    </row>
    <row r="7">
      <c r="A7" s="16" t="inlineStr">
        <is>
          <t>Legacy Application &amp; Protocol Support</t>
        </is>
      </c>
      <c r="B7" s="16" t="inlineStr">
        <is>
          <t>Coverage</t>
        </is>
      </c>
      <c r="C7" s="17" t="n">
        <v>5</v>
      </c>
      <c r="D7" s="17" t="n">
        <v>3</v>
      </c>
      <c r="E7" s="18" t="inlineStr">
        <is>
          <r>
            <t xml:space="preserve">Veracode DAST scans SOAP APIs after translating the WSDL specification into a Veracode-supported spec format (Postman Collection/OpenAPI) -- real coverage with real translation friction, matching rubric level 3 rather than full parity. Modern JS SPA support came via the 2022 Crashtest Security acquisition, underscoring legacy-stack support is comparatively less native. Source: </t>
          </r>
          <r>
            <rPr>
              <color rgb="000563C1"/>
              <u val="single"/>
            </rPr>
            <t>appsecsanta.com/veracode-dast</t>
          </r>
          <r>
            <t>, docs.veracode.com/r/Scan_APIs</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legacy-app-protocol-support</t>
        </is>
      </c>
      <c r="AA7" s="22" t="n">
        <v>0</v>
      </c>
      <c r="AB7" s="22">
        <f>IF(ISBLANK(V7),D7,V7)</f>
        <v/>
      </c>
    </row>
    <row r="8">
      <c r="A8" s="11" t="inlineStr">
        <is>
          <t>API/SPA Coverage</t>
        </is>
      </c>
      <c r="B8" s="11" t="inlineStr">
        <is>
          <t>Coverage</t>
        </is>
      </c>
      <c r="C8" s="6" t="n">
        <v>5</v>
      </c>
      <c r="D8" s="6" t="n">
        <v>3.5</v>
      </c>
      <c r="E8" s="12" t="inlineStr">
        <is>
          <r>
            <t xml:space="preserve">REST/SOAP/GraphQL with OpenAPI import; SPA support (React/Angular/Vue) added via 2022 Crashtest Security acquisition with full browser rendering and DOM-based XSS detection -- but independent review notes DAST coverage is 'limited for SPAs, GraphQL APIs, and complex authentication flows' compared to specialized alternatives. Source: </t>
          </r>
          <r>
            <rPr>
              <color rgb="000563C1"/>
              <u val="single"/>
            </rPr>
            <t>docs.veracode.com/r/Scan_web_applications_and_APIs</t>
          </r>
          <r>
            <t>, securityscientist.net/blog/12-questions-and-answers-about-veracode-dast</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api-spa-coverage</t>
        </is>
      </c>
      <c r="AA8" t="n">
        <v>0</v>
      </c>
      <c r="AB8">
        <f>IF(ISBLANK(V8),D8,V8)</f>
        <v/>
      </c>
    </row>
    <row r="9">
      <c r="A9" s="16" t="inlineStr">
        <is>
          <t>CI/CD-Native Fit</t>
        </is>
      </c>
      <c r="B9" s="16" t="inlineStr">
        <is>
          <t>Production Safety &amp; Operability</t>
        </is>
      </c>
      <c r="C9" s="17" t="n">
        <v>5</v>
      </c>
      <c r="D9" s="17" t="n">
        <v>4</v>
      </c>
      <c r="E9" s="18" t="inlineStr">
        <is>
          <r>
            <t xml:space="preserve">Explicit CI/CD pipeline integration supporting daily/weekly automated scans across development stages; Pipeline Scan output format for automation. Source: </t>
          </r>
          <r>
            <rPr>
              <color rgb="000563C1"/>
              <u val="single"/>
            </rPr>
            <t>veracode.com/products/dynamic-analysis-dast</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cicd-native-fit</t>
        </is>
      </c>
      <c r="AA9" s="22" t="n">
        <v>0</v>
      </c>
      <c r="AB9" s="22">
        <f>IF(ISBLANK(V9),D9,V9)</f>
        <v/>
      </c>
    </row>
    <row r="10">
      <c r="A10" s="11" t="inlineStr">
        <is>
          <t>Deployment Model &amp; Data Residency</t>
        </is>
      </c>
      <c r="B10" s="11" t="inlineStr">
        <is>
          <t>Deployment &amp; Data Governance</t>
        </is>
      </c>
      <c r="C10" s="6" t="n">
        <v>5</v>
      </c>
      <c r="D10" s="6" t="n">
        <v>3</v>
      </c>
      <c r="E10" s="12" t="inlineStr">
        <is>
          <r>
            <t xml:space="preserve">Internal Scanning Management (ISM) gives some on-prem-adjacent control for behind-firewall/staging scanning, but the core platform is SaaS-first (cloud-based); no full on-prem or air-gapped deployment option found like Invicti/ZAP offer. Source: </t>
          </r>
          <r>
            <rPr>
              <color rgb="000563C1"/>
              <u val="single"/>
            </rPr>
            <t>veracode.com/products/dynamic-analysis-dast</t>
          </r>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deployment-model-data-residency</t>
        </is>
      </c>
      <c r="AA10" t="n">
        <v>0</v>
      </c>
      <c r="AB10">
        <f>IF(ISBLANK(V10),D10,V10)</f>
        <v/>
      </c>
    </row>
    <row r="11">
      <c r="A11" s="16" t="inlineStr">
        <is>
          <t>Shadow/Zombie API Discovery</t>
        </is>
      </c>
      <c r="B11" s="16" t="inlineStr">
        <is>
          <t>Coverage</t>
        </is>
      </c>
      <c r="C11" s="17" t="n">
        <v>4</v>
      </c>
      <c r="D11" s="17" t="n">
        <v>4</v>
      </c>
      <c r="E11" s="18" t="inlineStr">
        <is>
          <r>
            <t xml:space="preserve">Veracode EASM's Deep Discovery scan specifically surfaces unknown/unmanaged internet-facing assets and endpoints beyond a predefined list. Verified by independent gap-check after the original research missed this branded product. Source: </t>
          </r>
          <r>
            <rPr>
              <color rgb="000563C1"/>
              <u val="single"/>
            </rPr>
            <t>veracode.com/veracode-external-attack-surface-management</t>
          </r>
          <r>
            <t>, docs.veracode.com/r/Discover_your_attack_surface</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shadow-api-discovery</t>
        </is>
      </c>
      <c r="AA11" s="22" t="n">
        <v>0</v>
      </c>
      <c r="AB11" s="22">
        <f>IF(ISBLANK(V11),D11,V11)</f>
        <v/>
      </c>
    </row>
    <row r="12">
      <c r="A12" s="11" t="inlineStr">
        <is>
          <t>Business Logic &amp; Workflow Vulnerability Detection</t>
        </is>
      </c>
      <c r="B12" s="11" t="inlineStr">
        <is>
          <t>Coverage</t>
        </is>
      </c>
      <c r="C12" s="6" t="n">
        <v>4</v>
      </c>
      <c r="D12" s="6" t="n">
        <v>3</v>
      </c>
      <c r="E12" s="12" t="inlineStr">
        <is>
          <r>
            <t xml:space="preserve">Explicitly claims to probe endpoints and entire workflows to validate business logic is developed securely, detecting business-logic vulnerabilities SAST misses -- real but generic capability, not purpose-built like a dedicated multi-role authorization-testing engine. Source: </t>
          </r>
          <r>
            <rPr>
              <color rgb="000563C1"/>
              <u val="single"/>
            </rPr>
            <t>veracode.com/products/dynamic-analysis-dast</t>
          </r>
        </is>
      </c>
      <c r="F12" s="11" t="inlineStr">
        <is>
          <t>paper</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business-logic-workflow-detection</t>
        </is>
      </c>
      <c r="AA12" t="n">
        <v>0</v>
      </c>
      <c r="AB12">
        <f>IF(ISBLANK(V12),D12,V12)</f>
        <v/>
      </c>
    </row>
    <row r="13">
      <c r="A13" s="16" t="inlineStr">
        <is>
          <t>Compliance &amp; Standards Mapping</t>
        </is>
      </c>
      <c r="B13" s="16" t="inlineStr">
        <is>
          <t>Detection Quality</t>
        </is>
      </c>
      <c r="C13" s="17" t="n">
        <v>4</v>
      </c>
      <c r="D13" s="17" t="n">
        <v>4.5</v>
      </c>
      <c r="E13" s="18" t="inlineStr">
        <is>
          <r>
            <t xml:space="preserve">Unified compliance reporting across SAST/DAST/SCA on one platform; real FedRAMP Moderate Authority to Operate (ATO) granted March 2022, a government-grade authorization uncommon among DAST vendors. Source: </t>
          </r>
          <r>
            <rPr>
              <color rgb="000563C1"/>
              <u val="single"/>
            </rPr>
            <t>veracode.com/application-security-compliance</t>
          </r>
          <r>
            <t>, veracode.com/about/certifications</t>
          </r>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compliance-standards-mapping</t>
        </is>
      </c>
      <c r="AA13" s="22" t="n">
        <v>0</v>
      </c>
      <c r="AB13" s="22">
        <f>IF(ISBLANK(V13),D13,V13)</f>
        <v/>
      </c>
    </row>
    <row r="14">
      <c r="A14" s="11" t="inlineStr">
        <is>
          <t>Noise / False-Positive Rate</t>
        </is>
      </c>
      <c r="B14" s="11" t="inlineStr">
        <is>
          <t>Detection Quality</t>
        </is>
      </c>
      <c r="C14" s="6" t="n">
        <v>4</v>
      </c>
      <c r="D14" s="6" t="n">
        <v>4.5</v>
      </c>
      <c r="E14" s="12" t="inlineStr">
        <is>
          <r>
            <t xml:space="preserve">VENDOR CLAIM, not independently verified: &lt;5% false-positive rate, with real-time actionable feedback. Source: </t>
          </r>
          <r>
            <rPr>
              <color rgb="000563C1"/>
              <u val="single"/>
            </rPr>
            <t>veracode.com/products/dynamic-analysis-dast</t>
          </r>
        </is>
      </c>
      <c r="F14" s="11" t="inlineStr">
        <is>
          <t>paper</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false-positive-rate</t>
        </is>
      </c>
      <c r="AA14" t="n">
        <v>0</v>
      </c>
      <c r="AB14">
        <f>IF(ISBLANK(V14),D14,V14)</f>
        <v/>
      </c>
    </row>
    <row r="15">
      <c r="A15" s="16" t="inlineStr">
        <is>
          <t>Triage &amp; Remediation Guidance</t>
        </is>
      </c>
      <c r="B15" s="16" t="inlineStr">
        <is>
          <t>Developer Experience</t>
        </is>
      </c>
      <c r="C15" s="17" t="n">
        <v>4</v>
      </c>
      <c r="D15" s="17" t="n">
        <v>4</v>
      </c>
      <c r="E15" s="18" t="inlineStr">
        <is>
          <r>
            <t xml:space="preserve">Line-of-code-specific findings identification with remediation instructions; VeraCustomTriage community tool generates a custom remediation plan (.xlsx) with internal workflow links, wiki references, and code snippets. Source: </t>
          </r>
          <r>
            <rPr>
              <color rgb="000563C1"/>
              <u val="single"/>
            </rPr>
            <t>docs.veracode.com/r/Veracode_Integrations</t>
          </r>
          <r>
            <t>, github.com/veracode/Veracode-Community-Projects</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triage-remediation-guidance</t>
        </is>
      </c>
      <c r="AA15" s="22" t="n">
        <v>0</v>
      </c>
      <c r="AB15" s="22">
        <f>IF(ISBLANK(V15),D15,V15)</f>
        <v/>
      </c>
    </row>
    <row r="16">
      <c r="A16" s="11" t="inlineStr">
        <is>
          <t>Vulnerability Status Management</t>
        </is>
      </c>
      <c r="B16" s="11" t="inlineStr">
        <is>
          <t>Reporting &amp; Extensibility</t>
        </is>
      </c>
      <c r="C16" s="6" t="n">
        <v>4</v>
      </c>
      <c r="D16" s="6" t="n">
        <v>4</v>
      </c>
      <c r="E16" s="12" t="inlineStr">
        <is>
          <r>
            <t xml:space="preserve">Unified flaw tracking and policy management across the whole SAST/DAST/SCA platform; Jira integration auto-closes tickets on verified fix or documented mitigation. Source: </t>
          </r>
          <r>
            <rPr>
              <color rgb="000563C1"/>
              <u val="single"/>
            </rPr>
            <t>veracode.com/products/dynamic-analysis-dast</t>
          </r>
          <r>
            <t>, marketplace.atlassian.com/apps/1218497/veracode-integration-for-jira-cloud</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vulnerability-status-management</t>
        </is>
      </c>
      <c r="AA16" t="n">
        <v>0</v>
      </c>
      <c r="AB16">
        <f>IF(ISBLANK(V16),D16,V16)</f>
        <v/>
      </c>
    </row>
    <row r="17">
      <c r="A17" s="16" t="inlineStr">
        <is>
          <t>Automated Triage / FP-Reduction Engine</t>
        </is>
      </c>
      <c r="B17" s="16" t="inlineStr">
        <is>
          <t>Detection Quality</t>
        </is>
      </c>
      <c r="C17" s="17" t="n">
        <v>3</v>
      </c>
      <c r="D17" s="17" t="n">
        <v>2.5</v>
      </c>
      <c r="E17" s="18" t="inlineStr">
        <is>
          <r>
            <t xml:space="preserve">Jira integration auto-closes tickets when findings are verified fixed or a mitigation is documented -- real workflow automation, but not an active PoC-generation or historical-learning FP-reduction engine. Source: </t>
          </r>
          <r>
            <rPr>
              <color rgb="000563C1"/>
              <u val="single"/>
            </rPr>
            <t>marketplace.atlassian.com/apps/1218497/veracode-integration-for-jira-cloud</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automated-triage-fp-reduction</t>
        </is>
      </c>
      <c r="AA17" s="22" t="n">
        <v>0</v>
      </c>
      <c r="AB17" s="22">
        <f>IF(ISBLANK(V17),D17,V17)</f>
        <v/>
      </c>
    </row>
    <row r="18">
      <c r="A18" s="11" t="inlineStr">
        <is>
          <t>Multi-Tenancy &amp; Access Control</t>
        </is>
      </c>
      <c r="B18" s="11" t="inlineStr">
        <is>
          <t>Deployment &amp; Data Governance</t>
        </is>
      </c>
      <c r="C18" s="6" t="n">
        <v>3</v>
      </c>
      <c r="D18" s="6" t="n">
        <v>4</v>
      </c>
      <c r="E18" s="12" t="inlineStr">
        <is>
          <r>
            <t xml:space="preserve">Real, documented RBAC with named platform roles: Security Lead (cross-team visibility), Workspace Administrator (SCA workspace access management), Mitigation Approver (accepts/rejects proposed mitigations alongside Reviewer/Security Lead). Verified by independent gap-check after the original research missed this. Audit-log specifics not independently confirmed, so not scored higher. Source: </t>
          </r>
          <r>
            <rPr>
              <color rgb="000563C1"/>
              <u val="single"/>
            </rPr>
            <t>docs.veracode.com/r/c_role_permissions</t>
          </r>
          <r>
            <t>, docs.veracode.com/r/Manage_workspace_access</t>
          </r>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multi-tenancy-access-control</t>
        </is>
      </c>
      <c r="AA18" t="n">
        <v>0</v>
      </c>
      <c r="AB18">
        <f>IF(ISBLANK(V18),D18,V18)</f>
        <v/>
      </c>
    </row>
    <row r="19">
      <c r="A19" s="16" t="inlineStr">
        <is>
          <t>Setup &amp; Onboarding Friction</t>
        </is>
      </c>
      <c r="B19" s="16" t="inlineStr">
        <is>
          <t>Developer Experience</t>
        </is>
      </c>
      <c r="C19" s="17" t="n">
        <v>3</v>
      </c>
      <c r="D19" s="17" t="n">
        <v>4</v>
      </c>
      <c r="E19" s="18" t="inlineStr">
        <is>
          <r>
            <t xml:space="preserve">Veracode DAST Essentials' 'Quick Scan' delivers results in as early as 5 minutes after a no-credit-card free-trial signup and target creation. Full authenticated/API scan setup is closer to ~30 minutes per Veracode's own quickstart learning path -- splits the rubric between minutes (basic scan) and under an hour (fully configured). Source: </t>
          </r>
          <r>
            <rPr>
              <color rgb="000563C1"/>
              <u val="single"/>
            </rPr>
            <t>veracode.com/blog/getting-started-guide-veracode-dast-essentials</t>
          </r>
          <r>
            <t>, docs.veracode.com/r/Dynamic_Analysis_onboarding</t>
          </r>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setup-onboarding-friction</t>
        </is>
      </c>
      <c r="AA19" s="22" t="n">
        <v>0</v>
      </c>
      <c r="AB19" s="22">
        <f>IF(ISBLANK(V19),D19,V19)</f>
        <v/>
      </c>
    </row>
    <row r="20">
      <c r="A20" s="11" t="inlineStr">
        <is>
          <t>Predictability of Licensing Model</t>
        </is>
      </c>
      <c r="B20" s="11" t="inlineStr">
        <is>
          <t>Deployment &amp; Data Governance</t>
        </is>
      </c>
      <c r="C20" s="6" t="n">
        <v>3</v>
      </c>
      <c r="D20" s="6" t="n">
        <v>3</v>
      </c>
      <c r="E20" s="12" t="inlineStr">
        <is>
          <r>
            <t xml:space="preserve">Licensed per 'application profile' (a clear, technical-footprint-aligned axis -- decomposing into microservices means paying per profile), but pricing is fully custom-quoted, not published. Third-party estimates suggest $500-1,200 per application at enterprise scale, $50k-300k annually depending on scan-method mix and contract term -- similar transparency profile to Invicti/StackHawk's enterprise tiers. Source: </t>
          </r>
          <r>
            <rPr>
              <color rgb="000563C1"/>
              <u val="single"/>
            </rPr>
            <t>vendr.com/marketplace/veracode</t>
          </r>
          <r>
            <t>, underdefense.com/industry-pricings/veracode-pricing-2026-ultimate-guide-for-security-products</t>
          </r>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licensing-model-predictability</t>
        </is>
      </c>
      <c r="AA20" t="n">
        <v>0</v>
      </c>
      <c r="AB20">
        <f>IF(ISBLANK(V20),D20,V20)</f>
        <v/>
      </c>
    </row>
    <row r="21">
      <c r="A21" s="16" t="inlineStr">
        <is>
          <t>Traditional Stateful Web Crawling</t>
        </is>
      </c>
      <c r="B21" s="16" t="inlineStr">
        <is>
          <t>Coverage</t>
        </is>
      </c>
      <c r="C21" s="17" t="n">
        <v>3</v>
      </c>
      <c r="D21" s="17" t="n">
        <v>4</v>
      </c>
      <c r="E21" s="18" t="inlineStr">
        <is>
          <r>
            <t xml:space="preserve">Selenium-based crawl scripts are explicitly built to handle complex, multi-step workflows -- a real, specific signal for stateful multi-page crawling depth. Source: </t>
          </r>
          <r>
            <rPr>
              <color rgb="000563C1"/>
              <u val="single"/>
            </rPr>
            <t>docs.veracode.com/r/Veracode_Integrations</t>
          </r>
          <r>
            <t>, securityscientist.net/blog/12-questions-and-answers-about-veracode-dast</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stateful-web-crawling</t>
        </is>
      </c>
      <c r="AA21" s="22" t="n">
        <v>0</v>
      </c>
      <c r="AB21" s="22">
        <f>IF(ISBLANK(V21),D21,V21)</f>
        <v/>
      </c>
    </row>
    <row r="22">
      <c r="A22" s="11" t="inlineStr">
        <is>
          <t>Vendor Security Posture</t>
        </is>
      </c>
      <c r="B22" s="11" t="inlineStr">
        <is>
          <t>Deployment &amp; Data Governance</t>
        </is>
      </c>
      <c r="C22" s="6" t="n">
        <v>3</v>
      </c>
      <c r="D22" s="6" t="n">
        <v>5</v>
      </c>
      <c r="E22" s="12" t="inlineStr">
        <is>
          <r>
            <t xml:space="preserve">SOC 2 Type II attestation, ISO 27001 standard support, and a real FedRAMP Moderate Authority to Operate (ATO) granted March 2022 -- a government-grade authorization none of the other four candidates in this evaluation have; the best-documented and most independently-verifiable posture evaluated so far. Source: </t>
          </r>
          <r>
            <rPr>
              <color rgb="000563C1"/>
              <u val="single"/>
            </rPr>
            <t>veracode.com/about/certifications</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vendor-security-posture</t>
        </is>
      </c>
      <c r="AA22" t="n">
        <v>0</v>
      </c>
      <c r="AB22">
        <f>IF(ISBLANK(V22),D22,V22)</f>
        <v/>
      </c>
    </row>
    <row r="23">
      <c r="A23" s="16" t="inlineStr">
        <is>
          <t>ASPM Integration</t>
        </is>
      </c>
      <c r="B23" s="16" t="inlineStr">
        <is>
          <t>Reporting &amp; Extensibility</t>
        </is>
      </c>
      <c r="C23" s="17" t="n">
        <v>2</v>
      </c>
      <c r="D23" s="17" t="n">
        <v>5</v>
      </c>
      <c r="E23" s="18" t="inlineStr">
        <is>
          <r>
            <t xml:space="preserve">Veracode Risk Manager (VRM) is a real, named ASPM product -- not a third-party integration but an owned platform -- aggregating findings from 50+ sources across code, cloud, and infrastructure, with a confirmed Wiz integration. Veracode was named a Leader in the 2025 IDC MarketScape for ASPM (third-party analyst validation). Same reasoning already applied to Invicti's Kondukto-owned ASPM (5/5). Verified by independent gap-check after the original research missed this branded product. Source: </t>
          </r>
          <r>
            <rPr>
              <color rgb="000563C1"/>
              <u val="single"/>
            </rPr>
            <t>veracode.com/blog/introducing-veracode-risk-manager-new-chapter-aspm-built-scale</t>
          </r>
          <r>
            <t>, veracode.com/blog/aspm-landscape-idc-marketscape, veracode.com/blog/veracode-risk-manager-now-with-wiz</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aspm-integration</t>
        </is>
      </c>
      <c r="AA23" s="22" t="n">
        <v>0</v>
      </c>
      <c r="AB23" s="22">
        <f>IF(ISBLANK(V23),D23,V23)</f>
        <v/>
      </c>
    </row>
    <row r="24">
      <c r="A24" s="11" t="inlineStr">
        <is>
          <t>Historical Risk Trend Dashboards</t>
        </is>
      </c>
      <c r="B24" s="11" t="inlineStr">
        <is>
          <t>Reporting &amp; Extensibility</t>
        </is>
      </c>
      <c r="C24" s="6" t="n">
        <v>2</v>
      </c>
      <c r="D24" s="6" t="n">
        <v>4.5</v>
      </c>
      <c r="E24" s="12" t="inlineStr">
        <is>
          <r>
            <t xml:space="preserve">Veracode Analytics provides pre-built executive dashboards tracking MTTR (Mean Time to Resolve) and remediation trends, with a single centralized view of security metrics across assessments. Verified by independent gap-check after the original research missed this branded product. Source: </t>
          </r>
          <r>
            <rPr>
              <color rgb="000563C1"/>
              <u val="single"/>
            </rPr>
            <t>veracode.com/analytics</t>
          </r>
          <r>
            <t>, veracode.com/blog/using-mean-time-to-resolve-mttr-effectively</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historical-risk-trend-dashboards</t>
        </is>
      </c>
      <c r="AA24" t="n">
        <v>0</v>
      </c>
      <c r="AB24">
        <f>IF(ISBLANK(V24),D24,V24)</f>
        <v/>
      </c>
    </row>
    <row r="25">
      <c r="A25" s="16" t="inlineStr">
        <is>
          <t>Sensitive Financial Data Exposure Detection</t>
        </is>
      </c>
      <c r="B25" s="16" t="inlineStr">
        <is>
          <t>Detection Quality</t>
        </is>
      </c>
      <c r="C25" s="17" t="n">
        <v>2</v>
      </c>
      <c r="D25" s="17" t="n">
        <v>2</v>
      </c>
      <c r="E25" s="18" t="inlineStr">
        <is>
          <t>No dedicated financial-data-pattern (account/routing number, card PAN) detection capability found -- inferred absence.</t>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sensitive-financial-data-exposure</t>
        </is>
      </c>
      <c r="AA25" s="22" t="n">
        <v>0</v>
      </c>
      <c r="AB25" s="22">
        <f>IF(ISBLANK(V25),D25,V25)</f>
        <v/>
      </c>
    </row>
    <row r="26">
      <c r="A26" s="11" t="inlineStr">
        <is>
          <t>Finding Validation / Proof-of-Exploit</t>
        </is>
      </c>
      <c r="B26" s="11" t="inlineStr">
        <is>
          <t>Detection Quality</t>
        </is>
      </c>
      <c r="C26" s="6" t="n">
        <v>2</v>
      </c>
      <c r="D26" s="6" t="n">
        <v>3</v>
      </c>
      <c r="E26" s="12" t="inlineStr">
        <is>
          <t>No dedicated proof-of-exploit/safe-re-exploitation engine found (unlike Invicti's Proof-Based Scanning); DAST's dynamic/behavioral nature gives some inherent evidence over static pattern matching, but no explicit confirmation-engine claim.</t>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finding-validation-proof-of-exploit</t>
        </is>
      </c>
      <c r="AA26" t="n">
        <v>0</v>
      </c>
      <c r="AB26">
        <f>IF(ISBLANK(V26),D26,V26)</f>
        <v/>
      </c>
    </row>
    <row r="27">
      <c r="A27" s="16" t="inlineStr">
        <is>
          <t>Reporting Quality / Exportability</t>
        </is>
      </c>
      <c r="B27" s="16" t="inlineStr">
        <is>
          <t>Reporting &amp; Extensibility</t>
        </is>
      </c>
      <c r="C27" s="17" t="n">
        <v>2</v>
      </c>
      <c r="D27" s="17" t="n">
        <v>4</v>
      </c>
      <c r="E27" s="18" t="inlineStr">
        <is>
          <r>
            <t xml:space="preserve">Unified reporting across SAST/DAST/SCA on one platform, plus custom .xlsx remediation-plan export via community tooling. Source: </t>
          </r>
          <r>
            <rPr>
              <color rgb="000563C1"/>
              <u val="single"/>
            </rPr>
            <t>github.com/veracode/Veracode-Community-Projects</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reporting-exportability</t>
        </is>
      </c>
      <c r="AA27" s="22" t="n">
        <v>0</v>
      </c>
      <c r="AB27" s="22">
        <f>IF(ISBLANK(V27),D27,V27)</f>
        <v/>
      </c>
    </row>
    <row r="28">
      <c r="A28" s="11" t="inlineStr">
        <is>
          <t>Scan Performance &amp; Scalability</t>
        </is>
      </c>
      <c r="B28" s="11" t="inlineStr">
        <is>
          <t>Production Safety &amp; Operability</t>
        </is>
      </c>
      <c r="C28" s="6" t="n">
        <v>2</v>
      </c>
      <c r="D28" s="6" t="n">
        <v>4</v>
      </c>
      <c r="E28" s="12" t="inlineStr">
        <is>
          <r>
            <t xml:space="preserve">Explicitly marketed as scaling to hundreds of web applications, enterprise-grade positioning. Source: </t>
          </r>
          <r>
            <rPr>
              <color rgb="000563C1"/>
              <u val="single"/>
            </rPr>
            <t>veracode.com/products/dynamic-analysis-dast</t>
          </r>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scan-performance-scalability</t>
        </is>
      </c>
      <c r="AA28" t="n">
        <v>0</v>
      </c>
      <c r="AB28">
        <f>IF(ISBLANK(V28),D28,V28)</f>
        <v/>
      </c>
    </row>
    <row r="29">
      <c r="A29" s="16" t="inlineStr">
        <is>
          <t>Ticketing &amp; Collaboration Integration</t>
        </is>
      </c>
      <c r="B29" s="16" t="inlineStr">
        <is>
          <t>Reporting &amp; Extensibility</t>
        </is>
      </c>
      <c r="C29" s="17" t="n">
        <v>2</v>
      </c>
      <c r="D29" s="17" t="n">
        <v>4.5</v>
      </c>
      <c r="E29" s="18" t="inlineStr">
        <is>
          <r>
            <t xml:space="preserve">Jira Cloud integration automatically creates a defect for each new security finding with no manual steps, and closes tickets when findings are verified fixed or a mitigation is documented -- a full bidirectional lifecycle. Source: </t>
          </r>
          <r>
            <rPr>
              <color rgb="000563C1"/>
              <u val="single"/>
            </rPr>
            <t>marketplace.atlassian.com/apps/1218497/veracode-integration-for-jira-cloud</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ticketing-collaboration-integration</t>
        </is>
      </c>
      <c r="AA29" s="22" t="n">
        <v>0</v>
      </c>
      <c r="AB29" s="22">
        <f>IF(ISBLANK(V29),D29,V29)</f>
        <v/>
      </c>
    </row>
    <row r="30">
      <c r="A30" s="11" t="inlineStr">
        <is>
          <t>Asset Discovery &amp; Inventory Tracking</t>
        </is>
      </c>
      <c r="B30" s="11" t="inlineStr">
        <is>
          <t>Coverage</t>
        </is>
      </c>
      <c r="C30" s="6" t="n">
        <v>1</v>
      </c>
      <c r="D30" s="6" t="n">
        <v>4.5</v>
      </c>
      <c r="E30" s="12" t="inlineStr">
        <is>
          <r>
            <t xml:space="preserve">Veracode EASM (External Attack Surface Management) is a real, dedicated product performing static scans (predefined domains) and Deep Discovery scans (all externally-accessible assets), automatically tracking internet-exposed APIs, web apps, mobile apps, and cloud assets, many unknown/unmanaged. Verified by independent gap-check after the original research missed this branded product. Source: </t>
          </r>
          <r>
            <rPr>
              <color rgb="000563C1"/>
              <u val="single"/>
            </rPr>
            <t>veracode.com/veracode-external-attack-surface-management</t>
          </r>
          <r>
            <t>, docs.veracode.com/r/Discover_your_attack_surface</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asset-discovery-inventory</t>
        </is>
      </c>
      <c r="AA30" t="n">
        <v>0</v>
      </c>
      <c r="AB30">
        <f>IF(ISBLANK(V30),D30,V30)</f>
        <v/>
      </c>
    </row>
    <row r="31">
      <c r="A31" s="16" t="inlineStr">
        <is>
          <t>Extensibility / Custom Rules</t>
        </is>
      </c>
      <c r="B31" s="16" t="inlineStr">
        <is>
          <t>Reporting &amp; Extensibility</t>
        </is>
      </c>
      <c r="C31" s="17" t="n">
        <v>1</v>
      </c>
      <c r="D31" s="17" t="n">
        <v>2.5</v>
      </c>
      <c r="E31" s="18" t="inlineStr">
        <is>
          <t>Community integration tooling (Veracode-Community-Projects) exists for automation/glue, but no detection-rule-authoring DSL comparable to ZAP's Zest or Nuclei's YAML templates found.</t>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extensibility-custom-rules</t>
        </is>
      </c>
      <c r="AA31" s="22" t="n">
        <v>0</v>
      </c>
      <c r="AB31" s="22">
        <f>IF(ISBLANK(V31),D31,V31)</f>
        <v/>
      </c>
    </row>
    <row r="32">
      <c r="A32" s="11" t="inlineStr">
        <is>
          <t>SIEM/SOAR Integration</t>
        </is>
      </c>
      <c r="B32" s="11" t="inlineStr">
        <is>
          <t>Reporting &amp; Extensibility</t>
        </is>
      </c>
      <c r="C32" s="6" t="n">
        <v>1</v>
      </c>
      <c r="D32" s="6" t="n">
        <v>2</v>
      </c>
      <c r="E32" s="12" t="inlineStr">
        <is>
          <t>No confirmed native SIEM/SOAR integration found in research -- explicitly a research gap rather than a confirmed absence; only community Slack-webhook-redirect tooling for SCA agent results was found.</t>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siem-soar-integration</t>
        </is>
      </c>
      <c r="AA32" t="n">
        <v>0</v>
      </c>
      <c r="AB32">
        <f>IF(ISBLANK(V32),D32,V32)</f>
        <v/>
      </c>
    </row>
    <row r="33">
      <c r="A33" s="16" t="inlineStr">
        <is>
          <t>Third-Party/Partner API Risk Assessment</t>
        </is>
      </c>
      <c r="B33" s="16" t="inlineStr">
        <is>
          <t>Coverage</t>
        </is>
      </c>
      <c r="C33" s="17" t="n">
        <v>1</v>
      </c>
      <c r="D33" s="17" t="n">
        <v>2</v>
      </c>
      <c r="E33" s="18" t="inlineStr">
        <is>
          <t>No dedicated vendor-risk-assessment output shaping for partner-facing APIs found -- inferred absence.</t>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third-party-partner-api-risk</t>
        </is>
      </c>
      <c r="AA33" s="22" t="n">
        <v>0</v>
      </c>
      <c r="AB33" s="22">
        <f>IF(ISBLANK(V33),D33,V33)</f>
        <v/>
      </c>
    </row>
    <row r="34">
      <c r="A34" s="11" t="inlineStr">
        <is>
          <t>IDE / Local Developer Tooling</t>
        </is>
      </c>
      <c r="B34" s="11" t="inlineStr">
        <is>
          <t>Developer Experience</t>
        </is>
      </c>
      <c r="C34" s="6" t="n">
        <v>1</v>
      </c>
      <c r="D34" s="6" t="n">
        <v>3</v>
      </c>
      <c r="E34" s="12" t="inlineStr">
        <is>
          <r>
            <t xml:space="preserve">IDE plugin support exists via Pipeline2DetailedReport format translation for importing scan results into an IDE plugin -- real but somewhat indirect/tooling-assisted rather than a native, polished plugin. Source: </t>
          </r>
          <r>
            <rPr>
              <color rgb="000563C1"/>
              <u val="single"/>
            </rPr>
            <t>docs.veracode.com/r/Veracode_Integrations</t>
          </r>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ide-local-dev-tooling</t>
        </is>
      </c>
      <c r="AA34" t="n">
        <v>0</v>
      </c>
      <c r="AB34">
        <f>IF(ISBLANK(V34),D34,V34)</f>
        <v/>
      </c>
    </row>
    <row r="35">
      <c r="A35" s="16" t="inlineStr">
        <is>
          <t>Auto-Remediation / Auto-PR</t>
        </is>
      </c>
      <c r="B35" s="16" t="inlineStr">
        <is>
          <t>Developer Experience</t>
        </is>
      </c>
      <c r="C35" s="17" t="n">
        <v>0</v>
      </c>
      <c r="D35" s="17" t="n">
        <v>5</v>
      </c>
      <c r="E35" s="18" t="inlineStr">
        <is>
          <r>
            <t xml:space="preserve">Veracode Fix GitHub Action, configured with fixType:batch and createPR:true, creates a new branch and opens an actual pull request with proposed fixes for review/approval/merge. Source: </t>
          </r>
          <r>
            <rPr>
              <color rgb="000563C1"/>
              <u val="single"/>
            </rPr>
            <t>docs.veracode.com/r/Veracode_Fix_GitHub_Action</t>
          </r>
          <r>
            <t>, veracode.com/blog/bringing-veracode-fix-github</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auto-remediation-pr</t>
        </is>
      </c>
      <c r="AA35" s="22" t="n">
        <v>0</v>
      </c>
      <c r="AB35" s="22">
        <f>IF(ISBLANK(V35),D35,V35)</f>
        <v/>
      </c>
    </row>
    <row r="36">
      <c r="A36" s="11" t="inlineStr">
        <is>
          <t>Incremental / Differential Scanning</t>
        </is>
      </c>
      <c r="B36" s="11" t="inlineStr">
        <is>
          <t>Production Safety &amp; Operability</t>
        </is>
      </c>
      <c r="C36" s="6" t="n">
        <v>0</v>
      </c>
      <c r="D36" s="6" t="n">
        <v>3</v>
      </c>
      <c r="E36" s="12" t="inlineStr">
        <is>
          <r>
            <t xml:space="preserve">Veracode DAST scan configuration supports allowlist/blocklist and subdirectory-level URL scoping to restrict scans to specific paths, matching rubric level 3 exactly. No automatic change-detection-since-last-scan found -- the 'Similarity Threshold' feature dedupes within one scan, not across scans. Source: </t>
          </r>
          <r>
            <rPr>
              <color rgb="000563C1"/>
              <u val="single"/>
            </rPr>
            <t>docs.veracode.com/r/Scan_Web_Applications</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incremental-differential-scanning</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7" r:id="rId21"/>
    <hyperlink xmlns:r="http://schemas.openxmlformats.org/officeDocument/2006/relationships" ref="E28" r:id="rId22"/>
    <hyperlink xmlns:r="http://schemas.openxmlformats.org/officeDocument/2006/relationships" ref="E29" r:id="rId23"/>
    <hyperlink xmlns:r="http://schemas.openxmlformats.org/officeDocument/2006/relationships" ref="E30" r:id="rId24"/>
    <hyperlink xmlns:r="http://schemas.openxmlformats.org/officeDocument/2006/relationships" ref="E34" r:id="rId25"/>
    <hyperlink xmlns:r="http://schemas.openxmlformats.org/officeDocument/2006/relationships" ref="E35" r:id="rId26"/>
    <hyperlink xmlns:r="http://schemas.openxmlformats.org/officeDocument/2006/relationships" ref="E36" r:id="rId27"/>
  </hyperlinks>
  <pageMargins left="0.75" right="0.75" top="1" bottom="1" header="0.5" footer="0.5"/>
</worksheet>
</file>

<file path=xl/worksheets/sheet5.xml><?xml version="1.0" encoding="utf-8"?>
<worksheet xmlns="http://schemas.openxmlformats.org/spreadsheetml/2006/main">
  <sheetPr>
    <tabColor rgb="00F18F01"/>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Checkmarx DAST</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3.5</v>
      </c>
      <c r="E4" s="12" t="inlineStr">
        <is>
          <t>Comprehensive OWASP Top 10 and OWASP API Top 10 coverage claimed, plus business-logic-aware testing -- but no independently published benchmark/ground-truth accuracy score found. Paper confidence, inferred from platform positioning rather than a cited third-party benchmark.</t>
        </is>
      </c>
      <c r="F4" s="11" t="inlineStr">
        <is>
          <t>paper</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Authentication &amp; Session Handling</t>
        </is>
      </c>
      <c r="B5" s="16" t="inlineStr">
        <is>
          <t>Coverage</t>
        </is>
      </c>
      <c r="C5" s="17" t="n">
        <v>6</v>
      </c>
      <c r="D5" s="17" t="n">
        <v>4.5</v>
      </c>
      <c r="E5" s="18" t="inlineStr">
        <is>
          <r>
            <t xml:space="preserve">Robust support: SSO via SAML/OAuth/OIDC, MFA/TOTP with token capture, browser-recorded scripted logins for multi-step/JS-heavy flows, session persistence across a scan. Source: </t>
          </r>
          <r>
            <rPr>
              <color rgb="000563C1"/>
              <u val="single"/>
            </rPr>
            <t>docs.checkmarx.com/authentication-support</t>
          </r>
          <r>
            <t>, docs.checkmarx.com/sso-authentication</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auth-session-handling</t>
        </is>
      </c>
      <c r="AA5" s="22" t="n">
        <v>0</v>
      </c>
      <c r="AB5" s="22">
        <f>IF(ISBLANK(V5),D5,V5)</f>
        <v/>
      </c>
    </row>
    <row r="6">
      <c r="A6" s="11" t="inlineStr">
        <is>
          <t>Safe Production Scanning</t>
        </is>
      </c>
      <c r="B6" s="11" t="inlineStr">
        <is>
          <t>Production Safety &amp; Operability</t>
        </is>
      </c>
      <c r="C6" s="6" t="n">
        <v>6</v>
      </c>
      <c r="D6" s="6" t="n">
        <v>4</v>
      </c>
      <c r="E6" s="12" t="inlineStr">
        <is>
          <r>
            <t xml:space="preserve">Explicit production-safe, non-destructive testing mode with documented rate-limit configuration for complex applications. Source: </t>
          </r>
          <r>
            <rPr>
              <color rgb="000563C1"/>
              <u val="single"/>
            </rPr>
            <t>docs.checkmarx.com/limiting-engine-scans</t>
          </r>
          <r>
            <t>, checkmarx.com/checkmarx-dast</t>
          </r>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safe-prod-scanning</t>
        </is>
      </c>
      <c r="AA6" t="n">
        <v>0</v>
      </c>
      <c r="AB6">
        <f>IF(ISBLANK(V6),D6,V6)</f>
        <v/>
      </c>
    </row>
    <row r="7">
      <c r="A7" s="16" t="inlineStr">
        <is>
          <t>API/SPA Coverage</t>
        </is>
      </c>
      <c r="B7" s="16" t="inlineStr">
        <is>
          <t>Coverage</t>
        </is>
      </c>
      <c r="C7" s="17" t="n">
        <v>5</v>
      </c>
      <c r="D7" s="17" t="n">
        <v>3.5</v>
      </c>
      <c r="E7" s="18" t="inlineStr">
        <is>
          <r>
            <t xml:space="preserve">REST/SOAP/gRPC endpoint testing confirmed, plus browser-recorded scripted logins for JS-heavy SPA auth flows -- but no confirmed GraphQL schema-introspection/fuzzing capability for Checkmarx-branded DAST specifically. Source: </t>
          </r>
          <r>
            <rPr>
              <color rgb="000563C1"/>
              <u val="single"/>
            </rPr>
            <t>checkmarx.com/checkmarx-dast</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api-spa-coverage</t>
        </is>
      </c>
      <c r="AA7" s="22" t="n">
        <v>0</v>
      </c>
      <c r="AB7" s="22">
        <f>IF(ISBLANK(V7),D7,V7)</f>
        <v/>
      </c>
    </row>
    <row r="8">
      <c r="A8" s="11" t="inlineStr">
        <is>
          <t>CI/CD-Native Fit</t>
        </is>
      </c>
      <c r="B8" s="11" t="inlineStr">
        <is>
          <t>Production Safety &amp; Operability</t>
        </is>
      </c>
      <c r="C8" s="6" t="n">
        <v>5</v>
      </c>
      <c r="D8" s="6" t="n">
        <v>4.5</v>
      </c>
      <c r="E8" s="12" t="inlineStr">
        <is>
          <r>
            <t xml:space="preserve">Native plugins for major CI/CD platforms plus a CLI path for anything unsupported, with severity-threshold policy gating (e.g. fail build on Critical/High) as a documented, real control point. Source: </t>
          </r>
          <r>
            <rPr>
              <color rgb="000563C1"/>
              <u val="single"/>
            </rPr>
            <t>docs.checkmarx.com/ci-cd-integrations</t>
          </r>
          <r>
            <t>, harness.io blog on Checkmarx One + Harness STO</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cicd-native-fit</t>
        </is>
      </c>
      <c r="AA8" t="n">
        <v>0</v>
      </c>
      <c r="AB8">
        <f>IF(ISBLANK(V8),D8,V8)</f>
        <v/>
      </c>
    </row>
    <row r="9">
      <c r="A9" s="16" t="inlineStr">
        <is>
          <t>Deployment Model &amp; Data Residency</t>
        </is>
      </c>
      <c r="B9" s="16" t="inlineStr">
        <is>
          <t>Deployment &amp; Data Governance</t>
        </is>
      </c>
      <c r="C9" s="17" t="n">
        <v>5</v>
      </c>
      <c r="D9" s="17" t="n">
        <v>4</v>
      </c>
      <c r="E9" s="18" t="inlineStr">
        <is>
          <r>
            <t xml:space="preserve">SaaS, on-premises, and hybrid deployment models are all supported, including air-gapped for core scanning -- but newer ASPM/Assist/MCP-server features are documented as SaaS-only, a real limitation on the on-prem/air-gapped path. Source: </t>
          </r>
          <r>
            <rPr>
              <color rgb="000563C1"/>
              <u val="single"/>
            </rPr>
            <t>securityscientist.net/blog/12-questions-and-answers-about-checkmarx-one</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deployment-model-data-residency</t>
        </is>
      </c>
      <c r="AA9" s="22" t="n">
        <v>0</v>
      </c>
      <c r="AB9" s="22">
        <f>IF(ISBLANK(V9),D9,V9)</f>
        <v/>
      </c>
    </row>
    <row r="10">
      <c r="A10" s="11" t="inlineStr">
        <is>
          <t>Legacy Application &amp; Protocol Support</t>
        </is>
      </c>
      <c r="B10" s="11" t="inlineStr">
        <is>
          <t>Coverage</t>
        </is>
      </c>
      <c r="C10" s="6" t="n">
        <v>5</v>
      </c>
      <c r="D10" s="6" t="n">
        <v>4</v>
      </c>
      <c r="E10" s="12" t="inlineStr">
        <is>
          <r>
            <t xml:space="preserve">Strong SOAP coverage confirmed (REST/SOAP/gRPC endpoint testing), reinforced by the underlying ZAP-derived engine's long OSS history of SOAP support (per Checkmarx's own scripting docs, not the separate standalone ZAP project) -- but no explicit claims found for </t>
          </r>
          <r>
            <rPr>
              <color rgb="000563C1"/>
              <u val="single"/>
            </rPr>
            <t>ASP.NET</t>
          </r>
          <r>
            <t xml:space="preserve"> WebForms/JSP/mainframe-gateway support specifically. Source: checkmarx.com/checkmarx-dast, docs.checkmarx.com/scripting</t>
          </r>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legacy-app-protocol-support</t>
        </is>
      </c>
      <c r="AA10" t="n">
        <v>0</v>
      </c>
      <c r="AB10">
        <f>IF(ISBLANK(V10),D10,V10)</f>
        <v/>
      </c>
    </row>
    <row r="11">
      <c r="A11" s="16" t="inlineStr">
        <is>
          <t>Business Logic &amp; Workflow Vulnerability Detection</t>
        </is>
      </c>
      <c r="B11" s="16" t="inlineStr">
        <is>
          <t>Coverage</t>
        </is>
      </c>
      <c r="C11" s="17" t="n">
        <v>4</v>
      </c>
      <c r="D11" s="17" t="n">
        <v>4</v>
      </c>
      <c r="E11" s="18" t="inlineStr">
        <is>
          <r>
            <t xml:space="preserve">Explicit runtime business-logic testing for authorization bypass, privilege escalation, and transaction manipulation across multi-step workflows, including OWASP API Top 10 BOLA-class issues. Source: </t>
          </r>
          <r>
            <rPr>
              <color rgb="000563C1"/>
              <u val="single"/>
            </rPr>
            <t>checkmarx.com/learn/integrating-dast-and-sast-into-devsecops-for-continuous-api-security</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business-logic-workflow-detection</t>
        </is>
      </c>
      <c r="AA11" s="22" t="n">
        <v>0</v>
      </c>
      <c r="AB11" s="22">
        <f>IF(ISBLANK(V11),D11,V11)</f>
        <v/>
      </c>
    </row>
    <row r="12">
      <c r="A12" s="11" t="inlineStr">
        <is>
          <t>Compliance &amp; Standards Mapping</t>
        </is>
      </c>
      <c r="B12" s="11" t="inlineStr">
        <is>
          <t>Detection Quality</t>
        </is>
      </c>
      <c r="C12" s="6" t="n">
        <v>4</v>
      </c>
      <c r="D12" s="6" t="n">
        <v>3</v>
      </c>
      <c r="E12" s="12" t="inlineStr">
        <is>
          <t>OWASP Top 10 and OWASP API Security Top 10 mapping confirmed; no explicit PCI-DSS/GLBA/SOX/FFIEC/NYDFS regulatory-framework mapping found in DAST-specific documentation, though the platform broadly targets enterprise/regulated customers.</t>
        </is>
      </c>
      <c r="F12" s="11" t="inlineStr">
        <is>
          <t>paper</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compliance-standards-mapping</t>
        </is>
      </c>
      <c r="AA12" t="n">
        <v>0</v>
      </c>
      <c r="AB12">
        <f>IF(ISBLANK(V12),D12,V12)</f>
        <v/>
      </c>
    </row>
    <row r="13">
      <c r="A13" s="16" t="inlineStr">
        <is>
          <t>Noise / False-Positive Rate</t>
        </is>
      </c>
      <c r="B13" s="16" t="inlineStr">
        <is>
          <t>Detection Quality</t>
        </is>
      </c>
      <c r="C13" s="17" t="n">
        <v>4</v>
      </c>
      <c r="D13" s="17" t="n">
        <v>3.5</v>
      </c>
      <c r="E13" s="18" t="inlineStr">
        <is>
          <t>Proof-based scanning validates findings before flagging, and SAST-DAST correlation is cited to reduce noise -- but the vendor's own '89% noise reduction' figure applies to platform-wide ASPM correlation across all scanners, not a DAST-isolated false-positive rate, so it's cited here with that caveat rather than at face value.</t>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false-positive-rate</t>
        </is>
      </c>
      <c r="AA13" s="22" t="n">
        <v>0</v>
      </c>
      <c r="AB13" s="22">
        <f>IF(ISBLANK(V13),D13,V13)</f>
        <v/>
      </c>
    </row>
    <row r="14">
      <c r="A14" s="11" t="inlineStr">
        <is>
          <t>Shadow/Zombie API Discovery</t>
        </is>
      </c>
      <c r="B14" s="11" t="inlineStr">
        <is>
          <t>Coverage</t>
        </is>
      </c>
      <c r="C14" s="6" t="n">
        <v>4</v>
      </c>
      <c r="D14" s="6" t="n">
        <v>4</v>
      </c>
      <c r="E14" s="12" t="inlineStr">
        <is>
          <r>
            <t xml:space="preserve">Bundled Checkmarx API Security module discovers shadow/zombie APIs via source-code scanning as code is committed -- source-level discovery rather than traffic-analysis/JS-bundle-parsing as the rubric's top tier envisions, but functionally a real continuous inventory. Source: </t>
          </r>
          <r>
            <rPr>
              <color rgb="000563C1"/>
              <u val="single"/>
            </rPr>
            <t>checkmarx.com/product/api-security</t>
          </r>
        </is>
      </c>
      <c r="F14" s="11" t="inlineStr">
        <is>
          <t>paper</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shadow-api-discovery</t>
        </is>
      </c>
      <c r="AA14" t="n">
        <v>0</v>
      </c>
      <c r="AB14">
        <f>IF(ISBLANK(V14),D14,V14)</f>
        <v/>
      </c>
    </row>
    <row r="15">
      <c r="A15" s="16" t="inlineStr">
        <is>
          <t>Triage &amp; Remediation Guidance</t>
        </is>
      </c>
      <c r="B15" s="16" t="inlineStr">
        <is>
          <t>Developer Experience</t>
        </is>
      </c>
      <c r="C15" s="17" t="n">
        <v>4</v>
      </c>
      <c r="D15" s="17" t="n">
        <v>4</v>
      </c>
      <c r="E15" s="18" t="inlineStr">
        <is>
          <r>
            <t xml:space="preserve">'Developer Assist' agentic AI tool delivers real-time, context-aware remediation guidance inside the IDE. Source: </t>
          </r>
          <r>
            <rPr>
              <color rgb="000563C1"/>
              <u val="single"/>
            </rPr>
            <t>docs.checkmarx.com</t>
          </r>
          <r>
            <t xml:space="preserve"> (Checkmarx One Developer Assist)</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triage-remediation-guidance</t>
        </is>
      </c>
      <c r="AA15" s="22" t="n">
        <v>0</v>
      </c>
      <c r="AB15" s="22">
        <f>IF(ISBLANK(V15),D15,V15)</f>
        <v/>
      </c>
    </row>
    <row r="16">
      <c r="A16" s="11" t="inlineStr">
        <is>
          <t>Vulnerability Status Management</t>
        </is>
      </c>
      <c r="B16" s="11" t="inlineStr">
        <is>
          <t>Reporting &amp; Extensibility</t>
        </is>
      </c>
      <c r="C16" s="6" t="n">
        <v>4</v>
      </c>
      <c r="D16" s="6" t="n">
        <v>4.5</v>
      </c>
      <c r="E16" s="12" t="inlineStr">
        <is>
          <r>
            <t xml:space="preserve">Dedicated triage/vulnerability-management workflow, plus a policy-governed exception process requiring explicit approval and recorded reasoning for risk acceptance, backed by an AuditTrail audit log of user actions. Source: </t>
          </r>
          <r>
            <rPr>
              <color rgb="000563C1"/>
              <u val="single"/>
            </rPr>
            <t>docs.checkmarx.com/managing-triaging-vulnerabilities</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vulnerability-status-management</t>
        </is>
      </c>
      <c r="AA16" t="n">
        <v>0</v>
      </c>
      <c r="AB16">
        <f>IF(ISBLANK(V16),D16,V16)</f>
        <v/>
      </c>
    </row>
    <row r="17">
      <c r="A17" s="16" t="inlineStr">
        <is>
          <t>Automated Triage / FP-Reduction Engine</t>
        </is>
      </c>
      <c r="B17" s="16" t="inlineStr">
        <is>
          <t>Detection Quality</t>
        </is>
      </c>
      <c r="C17" s="17" t="n">
        <v>3</v>
      </c>
      <c r="D17" s="17" t="n">
        <v>4</v>
      </c>
      <c r="E17" s="18" t="inlineStr">
        <is>
          <r>
            <t xml:space="preserve">SAST-DAST cross-scanner correlation automatically confirms which source-level findings are actually reachable/exploitable at runtime, reducing re-triage burden across scans -- same platform-wide-vs-DAST-isolated caveat on the specific '89%' figure as noted for false-positive-rate. Source: </t>
          </r>
          <r>
            <rPr>
              <color rgb="000563C1"/>
              <u val="single"/>
            </rPr>
            <t>checkmarx.com/blog/checkmarx-dast-for-the-ai-coding-era</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automated-triage-fp-reduction</t>
        </is>
      </c>
      <c r="AA17" s="22" t="n">
        <v>0</v>
      </c>
      <c r="AB17" s="22">
        <f>IF(ISBLANK(V17),D17,V17)</f>
        <v/>
      </c>
    </row>
    <row r="18">
      <c r="A18" s="11" t="inlineStr">
        <is>
          <t>Predictability of Licensing Model</t>
        </is>
      </c>
      <c r="B18" s="11" t="inlineStr">
        <is>
          <t>Deployment &amp; Data Governance</t>
        </is>
      </c>
      <c r="C18" s="6" t="n">
        <v>3</v>
      </c>
      <c r="D18" s="6" t="n">
        <v>3</v>
      </c>
      <c r="E18" s="12" t="inlineStr">
        <is>
          <r>
            <t xml:space="preserve">Per-Contributing-Developer licensing with a documented, formulaic lines-of-code cap tied to license count -- a real, transparent scaling axis -- but base pricing itself isn't published (custom quotes only), and buyers should budget an additional 15-35% for implementation/support/training in year one. Source: </t>
          </r>
          <r>
            <rPr>
              <color rgb="000563C1"/>
              <u val="single"/>
            </rPr>
            <t>checkmarx.com/legal/checkmarx-one-license-types-and-restrictions</t>
          </r>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licensing-model-predictability</t>
        </is>
      </c>
      <c r="AA18" t="n">
        <v>0</v>
      </c>
      <c r="AB18">
        <f>IF(ISBLANK(V18),D18,V18)</f>
        <v/>
      </c>
    </row>
    <row r="19">
      <c r="A19" s="16" t="inlineStr">
        <is>
          <t>Multi-Tenancy &amp; Access Control</t>
        </is>
      </c>
      <c r="B19" s="16" t="inlineStr">
        <is>
          <t>Deployment &amp; Data Governance</t>
        </is>
      </c>
      <c r="C19" s="17" t="n">
        <v>3</v>
      </c>
      <c r="D19" s="17" t="n">
        <v>4</v>
      </c>
      <c r="E19" s="18" t="inlineStr">
        <is>
          <r>
            <t xml:space="preserve">Custom roles beyond the predefined set, project access scoped to Team membership (business-unit-style isolation), and an AuditTrail table logging access-control user actions. Source: </t>
          </r>
          <r>
            <rPr>
              <color rgb="000563C1"/>
              <u val="single"/>
            </rPr>
            <t>docs.checkmarx.com/access-control-overview</t>
          </r>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multi-tenancy-access-control</t>
        </is>
      </c>
      <c r="AA19" s="22" t="n">
        <v>0</v>
      </c>
      <c r="AB19" s="22">
        <f>IF(ISBLANK(V19),D19,V19)</f>
        <v/>
      </c>
    </row>
    <row r="20">
      <c r="A20" s="11" t="inlineStr">
        <is>
          <t>Setup &amp; Onboarding Friction</t>
        </is>
      </c>
      <c r="B20" s="11" t="inlineStr">
        <is>
          <t>Developer Experience</t>
        </is>
      </c>
      <c r="C20" s="6" t="n">
        <v>3</v>
      </c>
      <c r="D20" s="6" t="n">
        <v>4.5</v>
      </c>
      <c r="E20" s="12" t="inlineStr">
        <is>
          <r>
            <t xml:space="preserve">Vendor claims onboarding new apps 'in minutes, not days' with a three-click setup, pre-built scan templates, an environment setup wizard, and built-in tunneling for internal apps without firewall reconfiguration. Source: </t>
          </r>
          <r>
            <rPr>
              <color rgb="000563C1"/>
              <u val="single"/>
            </rPr>
            <t>checkmarx.com/checkmarx-dast</t>
          </r>
          <r>
            <t>, docs.checkmarx.com/dast-environment-setup-wizard</t>
          </r>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setup-onboarding-friction</t>
        </is>
      </c>
      <c r="AA20" t="n">
        <v>0</v>
      </c>
      <c r="AB20">
        <f>IF(ISBLANK(V20),D20,V20)</f>
        <v/>
      </c>
    </row>
    <row r="21">
      <c r="A21" s="16" t="inlineStr">
        <is>
          <t>Traditional Stateful Web Crawling</t>
        </is>
      </c>
      <c r="B21" s="16" t="inlineStr">
        <is>
          <t>Coverage</t>
        </is>
      </c>
      <c r="C21" s="17" t="n">
        <v>3</v>
      </c>
      <c r="D21" s="17" t="n">
        <v>4</v>
      </c>
      <c r="E21" s="18" t="inlineStr">
        <is>
          <r>
            <t xml:space="preserve">Explicit handling of multi-step forms and custom business processes, maintaining session state (tokens/cookies/SSO flows) across the full navigation sequence rather than treating each page independently. Source: </t>
          </r>
          <r>
            <rPr>
              <color rgb="000563C1"/>
              <u val="single"/>
            </rPr>
            <t>checkmarx.com/learn/dast</t>
          </r>
          <r>
            <t xml:space="preserve"> pages</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stateful-web-crawling</t>
        </is>
      </c>
      <c r="AA21" s="22" t="n">
        <v>0</v>
      </c>
      <c r="AB21" s="22">
        <f>IF(ISBLANK(V21),D21,V21)</f>
        <v/>
      </c>
    </row>
    <row r="22">
      <c r="A22" s="11" t="inlineStr">
        <is>
          <t>Vendor Security Posture</t>
        </is>
      </c>
      <c r="B22" s="11" t="inlineStr">
        <is>
          <t>Deployment &amp; Data Governance</t>
        </is>
      </c>
      <c r="C22" s="6" t="n">
        <v>3</v>
      </c>
      <c r="D22" s="6" t="n">
        <v>4.5</v>
      </c>
      <c r="E22" s="12" t="inlineStr">
        <is>
          <r>
            <t xml:space="preserve">SOC 2 Type II certified (independent annual audit, report available on request), ISO/IEC 27001:2022 certified, and FedRAMP Authorized -- strong, though the SOC 2 report is available on request rather than proactively published, which is why this stops short of the rubric's top tier. Source: </t>
          </r>
          <r>
            <rPr>
              <color rgb="000563C1"/>
              <u val="single"/>
            </rPr>
            <t>checkmarx.com/trust</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vendor-security-posture</t>
        </is>
      </c>
      <c r="AA22" t="n">
        <v>0</v>
      </c>
      <c r="AB22">
        <f>IF(ISBLANK(V22),D22,V22)</f>
        <v/>
      </c>
    </row>
    <row r="23">
      <c r="A23" s="16" t="inlineStr">
        <is>
          <t>Sensitive Financial Data Exposure Detection</t>
        </is>
      </c>
      <c r="B23" s="16" t="inlineStr">
        <is>
          <t>Detection Quality</t>
        </is>
      </c>
      <c r="C23" s="17" t="n">
        <v>2</v>
      </c>
      <c r="D23" s="17" t="n">
        <v>1</v>
      </c>
      <c r="E23" s="18" t="inlineStr">
        <is>
          <r>
            <t xml:space="preserve">Confirmed absent: Checkmarx's only sensitive-pattern-detection product is Secrets Detection, explicitly scoped to '170+ types of login credentials, access tokens, encryption keys, API keys, SSH keys, webhook URLs' -- credentials/secrets, not financial PII (account/routing numbers, card PANs, SSNs) in application responses. Independently gap-checked and confirmed by a fresh reviewer. Source: </t>
          </r>
          <r>
            <rPr>
              <color rgb="000563C1"/>
              <u val="single"/>
            </rPr>
            <t>docs.checkmarx.com/secret-detection</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sensitive-financial-data-exposure</t>
        </is>
      </c>
      <c r="AA23" s="22" t="n">
        <v>0</v>
      </c>
      <c r="AB23" s="22">
        <f>IF(ISBLANK(V23),D23,V23)</f>
        <v/>
      </c>
    </row>
    <row r="24">
      <c r="A24" s="11" t="inlineStr">
        <is>
          <t>ASPM Integration</t>
        </is>
      </c>
      <c r="B24" s="11" t="inlineStr">
        <is>
          <t>Reporting &amp; Extensibility</t>
        </is>
      </c>
      <c r="C24" s="6" t="n">
        <v>2</v>
      </c>
      <c r="D24" s="6" t="n">
        <v>4</v>
      </c>
      <c r="E24" s="12" t="inlineStr">
        <is>
          <r>
            <t xml:space="preserve">Confirmed native, documented integration with DefectDojo, a major third-party ASPM platform -- in addition to Checkmarx's own built-in ASPM (Application Risk Management), which the rubric's criterion doesn't directly credit since it's about hooks into other ASPM platforms specifically. Source: </t>
          </r>
          <r>
            <rPr>
              <color rgb="000563C1"/>
              <u val="single"/>
            </rPr>
            <t>defectdojo.com/integrations/checkmarx-one</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aspm-integration</t>
        </is>
      </c>
      <c r="AA24" t="n">
        <v>0</v>
      </c>
      <c r="AB24">
        <f>IF(ISBLANK(V24),D24,V24)</f>
        <v/>
      </c>
    </row>
    <row r="25">
      <c r="A25" s="16" t="inlineStr">
        <is>
          <t>Finding Validation / Proof-of-Exploit</t>
        </is>
      </c>
      <c r="B25" s="16" t="inlineStr">
        <is>
          <t>Detection Quality</t>
        </is>
      </c>
      <c r="C25" s="17" t="n">
        <v>2</v>
      </c>
      <c r="D25" s="17" t="n">
        <v>4</v>
      </c>
      <c r="E25" s="18" t="inlineStr">
        <is>
          <r>
            <t xml:space="preserve">Proof-based scanning validates findings and flags only exploitable vulnerabilities with contextual evidence; SAST-DAST correlation additionally confirms which source-level findings are actually reachable/exploitable at runtime. Source: </t>
          </r>
          <r>
            <rPr>
              <color rgb="000563C1"/>
              <u val="single"/>
            </rPr>
            <t>docs.checkmarx.com/checkmarx-dast</t>
          </r>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finding-validation-proof-of-exploit</t>
        </is>
      </c>
      <c r="AA25" s="22" t="n">
        <v>0</v>
      </c>
      <c r="AB25" s="22">
        <f>IF(ISBLANK(V25),D25,V25)</f>
        <v/>
      </c>
    </row>
    <row r="26">
      <c r="A26" s="11" t="inlineStr">
        <is>
          <t>Historical Risk Trend Dashboards</t>
        </is>
      </c>
      <c r="B26" s="11" t="inlineStr">
        <is>
          <t>Reporting &amp; Extensibility</t>
        </is>
      </c>
      <c r="C26" s="6" t="n">
        <v>2</v>
      </c>
      <c r="D26" s="6" t="n">
        <v>4.5</v>
      </c>
      <c r="E26" s="12" t="inlineStr">
        <is>
          <r>
            <t xml:space="preserve">Executive Overview Dashboard shows vulnerability density over time with a separate trend line per severity level, plus a Totals/Over-Time toggle for executive-level reporting. Source: </t>
          </r>
          <r>
            <rPr>
              <color rgb="000563C1"/>
              <u val="single"/>
            </rPr>
            <t>docs.checkmarx.com/executive-overview-dashboard</t>
          </r>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historical-risk-trend-dashboards</t>
        </is>
      </c>
      <c r="AA26" t="n">
        <v>0</v>
      </c>
      <c r="AB26">
        <f>IF(ISBLANK(V26),D26,V26)</f>
        <v/>
      </c>
    </row>
    <row r="27">
      <c r="A27" s="16" t="inlineStr">
        <is>
          <t>Reporting Quality / Exportability</t>
        </is>
      </c>
      <c r="B27" s="16" t="inlineStr">
        <is>
          <t>Reporting &amp; Extensibility</t>
        </is>
      </c>
      <c r="C27" s="17" t="n">
        <v>2</v>
      </c>
      <c r="D27" s="17" t="n">
        <v>4</v>
      </c>
      <c r="E27" s="18" t="inlineStr">
        <is>
          <r>
            <t xml:space="preserve">CSV export with Vulnerability Name/Severity/Status/Aging fields, plus direct Jira/ServiceNow/Slack/Teams integration -- no confirmed white-label branding option for external auditors. Source: </t>
          </r>
          <r>
            <rPr>
              <color rgb="000563C1"/>
              <u val="single"/>
            </rPr>
            <t>docs.checkmarx.com/global-csv-result-reports</t>
          </r>
          <r>
            <t>, docs.checkmarx.com/checkmarx-one-reporting</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reporting-exportability</t>
        </is>
      </c>
      <c r="AA27" s="22" t="n">
        <v>0</v>
      </c>
      <c r="AB27" s="22">
        <f>IF(ISBLANK(V27),D27,V27)</f>
        <v/>
      </c>
    </row>
    <row r="28">
      <c r="A28" s="11" t="inlineStr">
        <is>
          <t>Scan Performance &amp; Scalability</t>
        </is>
      </c>
      <c r="B28" s="11" t="inlineStr">
        <is>
          <t>Production Safety &amp; Operability</t>
        </is>
      </c>
      <c r="C28" s="6" t="n">
        <v>2</v>
      </c>
      <c r="D28" s="6" t="n">
        <v>3.5</v>
      </c>
      <c r="E28" s="12" t="inlineStr">
        <is>
          <r>
            <t xml:space="preserve">Vendor claims handling scans across 'dozens of microservices in parallel' with configurable resource throttling, and cites 2.1B lines of code scanned monthly platform-wide -- but no independently benchmarked DAST-specific scan-speed number found. Source: </t>
          </r>
          <r>
            <rPr>
              <color rgb="000563C1"/>
              <u val="single"/>
            </rPr>
            <t>checkmarx.com/checkmarx-dast</t>
          </r>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scan-performance-scalability</t>
        </is>
      </c>
      <c r="AA28" t="n">
        <v>0</v>
      </c>
      <c r="AB28">
        <f>IF(ISBLANK(V28),D28,V28)</f>
        <v/>
      </c>
    </row>
    <row r="29">
      <c r="A29" s="16" t="inlineStr">
        <is>
          <t>Ticketing &amp; Collaboration Integration</t>
        </is>
      </c>
      <c r="B29" s="16" t="inlineStr">
        <is>
          <t>Reporting &amp; Extensibility</t>
        </is>
      </c>
      <c r="C29" s="17" t="n">
        <v>2</v>
      </c>
      <c r="D29" s="17" t="n">
        <v>4</v>
      </c>
      <c r="E29" s="18" t="inlineStr">
        <is>
          <r>
            <t xml:space="preserve">Native bidirectional Jira integration (automated create/update/close by severity), plus Slack/Teams alerting; ServiceNow path exists but is less direct (via a DefectDojo bridge rather than a first-party Checkmarx connector). Source: </t>
          </r>
          <r>
            <rPr>
              <color rgb="000563C1"/>
              <u val="single"/>
            </rPr>
            <t>docs.checkmarx.com/jira</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ticketing-collaboration-integration</t>
        </is>
      </c>
      <c r="AA29" s="22" t="n">
        <v>0</v>
      </c>
      <c r="AB29" s="22">
        <f>IF(ISBLANK(V29),D29,V29)</f>
        <v/>
      </c>
    </row>
    <row r="30">
      <c r="A30" s="11" t="inlineStr">
        <is>
          <t>SIEM/SOAR Integration</t>
        </is>
      </c>
      <c r="B30" s="11" t="inlineStr">
        <is>
          <t>Reporting &amp; Extensibility</t>
        </is>
      </c>
      <c r="C30" s="6" t="n">
        <v>1</v>
      </c>
      <c r="D30" s="6" t="n">
        <v>1</v>
      </c>
      <c r="E30" s="12" t="inlineStr">
        <is>
          <r>
            <t xml:space="preserve">Confirmed absent: Checkmarx's official integrations pages (marketing page and the canonical </t>
          </r>
          <r>
            <rPr>
              <color rgb="000563C1"/>
              <u val="single"/>
            </rPr>
            <t>docs.checkmarx.com</t>
          </r>
          <r>
            <t xml:space="preserve"> integrations doc) list SCM, CI/CD, IDE, ticketing, registry, and CNAPP integrations, but no SIEM (Splunk/QRadar/Sentinel) or SOAR (Cortex XSOAR) platform, and no CEF/syslog export capability. Independently gap-checked and confirmed by a fresh reviewer. Source: checkmarx.com/why-checkmarx/integrations, docs.checkmarx.com/checkmarx-one-integrations</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siem-soar-integration</t>
        </is>
      </c>
      <c r="AA30" t="n">
        <v>0</v>
      </c>
      <c r="AB30">
        <f>IF(ISBLANK(V30),D30,V30)</f>
        <v/>
      </c>
    </row>
    <row r="31">
      <c r="A31" s="16" t="inlineStr">
        <is>
          <t>Third-Party/Partner API Risk Assessment</t>
        </is>
      </c>
      <c r="B31" s="16" t="inlineStr">
        <is>
          <t>Coverage</t>
        </is>
      </c>
      <c r="C31" s="17" t="n">
        <v>1</v>
      </c>
      <c r="D31" s="17" t="n">
        <v>1.5</v>
      </c>
      <c r="E31" s="18" t="inlineStr">
        <is>
          <r>
            <t xml:space="preserve">Inconclusive after independent gap-check: the related Checkmarx API Security module has generic 'open banking' marketing copy about helping 'banks and their partners discover, control, and mitigate API security risk,' but no dedicated feature or vendor-risk-assessment-formatted output distinguishing partner/third-party endpoints was found in product documentation. Treated as unconfirmed rather than a firm capability. Source: </t>
          </r>
          <r>
            <rPr>
              <color rgb="000563C1"/>
              <u val="single"/>
            </rPr>
            <t>checkmarx.com/product/api-security</t>
          </r>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third-party-partner-api-risk</t>
        </is>
      </c>
      <c r="AA31" s="22" t="n">
        <v>0</v>
      </c>
      <c r="AB31" s="22">
        <f>IF(ISBLANK(V31),D31,V31)</f>
        <v/>
      </c>
    </row>
    <row r="32">
      <c r="A32" s="11" t="inlineStr">
        <is>
          <t>Asset Discovery &amp; Inventory Tracking</t>
        </is>
      </c>
      <c r="B32" s="11" t="inlineStr">
        <is>
          <t>Coverage</t>
        </is>
      </c>
      <c r="C32" s="6" t="n">
        <v>1</v>
      </c>
      <c r="D32" s="6" t="n">
        <v>3</v>
      </c>
      <c r="E32" s="12" t="inlineStr">
        <is>
          <r>
            <t xml:space="preserve">Checkmarx API Security inventories APIs as code is committed across repos -- strong at the API level, but scoped to code-known applications rather than the rubric's top tier of scanning public IP ranges/domains to surface rogue unmapped internet-facing apps. Source: </t>
          </r>
          <r>
            <rPr>
              <color rgb="000563C1"/>
              <u val="single"/>
            </rPr>
            <t>checkmarx.com/product/api-security</t>
          </r>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asset-discovery-inventory</t>
        </is>
      </c>
      <c r="AA32" t="n">
        <v>0</v>
      </c>
      <c r="AB32">
        <f>IF(ISBLANK(V32),D32,V32)</f>
        <v/>
      </c>
    </row>
    <row r="33">
      <c r="A33" s="16" t="inlineStr">
        <is>
          <t>Extensibility / Custom Rules</t>
        </is>
      </c>
      <c r="B33" s="16" t="inlineStr">
        <is>
          <t>Reporting &amp; Extensibility</t>
        </is>
      </c>
      <c r="C33" s="17" t="n">
        <v>1</v>
      </c>
      <c r="D33" s="17" t="n">
        <v>3</v>
      </c>
      <c r="E33" s="18" t="inlineStr">
        <is>
          <r>
            <t xml:space="preserve">Custom scripting via ZEST/GraalJS engines (inherited from the underlying ZAP-derived engine per Checkmarx's own docs) allows tailored scan logic -- but script jobs are documented as blocked on the primary Checkmarx One SaaS product for security reasons, supported only via the separate DAST-CLI tool. Source: </t>
          </r>
          <r>
            <rPr>
              <color rgb="000563C1"/>
              <u val="single"/>
            </rPr>
            <t>docs.checkmarx.com/scripting</t>
          </r>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extensibility-custom-rules</t>
        </is>
      </c>
      <c r="AA33" s="22" t="n">
        <v>0</v>
      </c>
      <c r="AB33" s="22">
        <f>IF(ISBLANK(V33),D33,V33)</f>
        <v/>
      </c>
    </row>
    <row r="34">
      <c r="A34" s="11" t="inlineStr">
        <is>
          <t>IDE / Local Developer Tooling</t>
        </is>
      </c>
      <c r="B34" s="11" t="inlineStr">
        <is>
          <t>Developer Experience</t>
        </is>
      </c>
      <c r="C34" s="6" t="n">
        <v>1</v>
      </c>
      <c r="D34" s="6" t="n">
        <v>4</v>
      </c>
      <c r="E34" s="12" t="inlineStr">
        <is>
          <r>
            <t xml:space="preserve">VS Code and Visual Studio extensions, pre-commit secret scanning hook, and real-time in-IDE feedback via Developer Assist / ASCA -- strong overall IDE integration for the platform, though the DAST-specific portion of this local feedback loop is less clearly documented than the SAST/secrets portion. Source: </t>
          </r>
          <r>
            <rPr>
              <color rgb="000563C1"/>
              <u val="single"/>
            </rPr>
            <t>docs.checkmarx.com/checkmarx-one-vs-code-extension</t>
          </r>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ide-local-dev-tooling</t>
        </is>
      </c>
      <c r="AA34" t="n">
        <v>0</v>
      </c>
      <c r="AB34">
        <f>IF(ISBLANK(V34),D34,V34)</f>
        <v/>
      </c>
    </row>
    <row r="35">
      <c r="A35" s="16" t="inlineStr">
        <is>
          <t>Auto-Remediation / Auto-PR</t>
        </is>
      </c>
      <c r="B35" s="16" t="inlineStr">
        <is>
          <t>Developer Experience</t>
        </is>
      </c>
      <c r="C35" s="17" t="n">
        <v>0</v>
      </c>
      <c r="D35" s="17" t="n">
        <v>1</v>
      </c>
      <c r="E35" s="18" t="inlineStr">
        <is>
          <r>
            <t xml:space="preserve">Confirmed absent for DAST: Checkmarx's Remediation Assist / auto-PR feature explicitly scopes itself to 'SAST and SCA findings generated within Checkmarx One' -- no DAST scope mentioned anywhere in that feature's own documentation. Independently gap-checked by a fresh reviewer with no shared context, who confirmed the same absence. Source: </t>
          </r>
          <r>
            <rPr>
              <color rgb="000563C1"/>
              <u val="single"/>
            </rPr>
            <t>checkmarx.com/product/triage-and-remediation</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auto-remediation-pr</t>
        </is>
      </c>
      <c r="AA35" s="22" t="n">
        <v>0</v>
      </c>
      <c r="AB35" s="22">
        <f>IF(ISBLANK(V35),D35,V35)</f>
        <v/>
      </c>
    </row>
    <row r="36">
      <c r="A36" s="11" t="inlineStr">
        <is>
          <t>Incremental / Differential Scanning</t>
        </is>
      </c>
      <c r="B36" s="11" t="inlineStr">
        <is>
          <t>Production Safety &amp; Operability</t>
        </is>
      </c>
      <c r="C36" s="6" t="n">
        <v>0</v>
      </c>
      <c r="D36" s="6" t="n">
        <v>1</v>
      </c>
      <c r="E36" s="12" t="inlineStr">
        <is>
          <r>
            <t xml:space="preserve">Confirmed absent: Checkmarx's own support documentation states plainly that 'only API Security and SAST support incremental scans,' and selecting DAST for a scan run forces a full rescan instead. Independently gap-checked and confirmed by a fresh reviewer with a direct citation. Source: </t>
          </r>
          <r>
            <rPr>
              <color rgb="000563C1"/>
              <u val="single"/>
            </rPr>
            <t>support.checkmarx.com</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incremental-differential-scanning</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4" r:id="rId8"/>
    <hyperlink xmlns:r="http://schemas.openxmlformats.org/officeDocument/2006/relationships" ref="E15" r:id="rId9"/>
    <hyperlink xmlns:r="http://schemas.openxmlformats.org/officeDocument/2006/relationships" ref="E16" r:id="rId10"/>
    <hyperlink xmlns:r="http://schemas.openxmlformats.org/officeDocument/2006/relationships" ref="E17" r:id="rId11"/>
    <hyperlink xmlns:r="http://schemas.openxmlformats.org/officeDocument/2006/relationships" ref="E18" r:id="rId12"/>
    <hyperlink xmlns:r="http://schemas.openxmlformats.org/officeDocument/2006/relationships" ref="E19" r:id="rId13"/>
    <hyperlink xmlns:r="http://schemas.openxmlformats.org/officeDocument/2006/relationships" ref="E20" r:id="rId14"/>
    <hyperlink xmlns:r="http://schemas.openxmlformats.org/officeDocument/2006/relationships" ref="E21" r:id="rId15"/>
    <hyperlink xmlns:r="http://schemas.openxmlformats.org/officeDocument/2006/relationships" ref="E22" r:id="rId16"/>
    <hyperlink xmlns:r="http://schemas.openxmlformats.org/officeDocument/2006/relationships" ref="E23" r:id="rId17"/>
    <hyperlink xmlns:r="http://schemas.openxmlformats.org/officeDocument/2006/relationships" ref="E24" r:id="rId18"/>
    <hyperlink xmlns:r="http://schemas.openxmlformats.org/officeDocument/2006/relationships" ref="E25" r:id="rId19"/>
    <hyperlink xmlns:r="http://schemas.openxmlformats.org/officeDocument/2006/relationships" ref="E26" r:id="rId20"/>
    <hyperlink xmlns:r="http://schemas.openxmlformats.org/officeDocument/2006/relationships" ref="E27" r:id="rId21"/>
    <hyperlink xmlns:r="http://schemas.openxmlformats.org/officeDocument/2006/relationships" ref="E28" r:id="rId22"/>
    <hyperlink xmlns:r="http://schemas.openxmlformats.org/officeDocument/2006/relationships" ref="E29" r:id="rId23"/>
    <hyperlink xmlns:r="http://schemas.openxmlformats.org/officeDocument/2006/relationships" ref="E30" r:id="rId24"/>
    <hyperlink xmlns:r="http://schemas.openxmlformats.org/officeDocument/2006/relationships" ref="E31" r:id="rId25"/>
    <hyperlink xmlns:r="http://schemas.openxmlformats.org/officeDocument/2006/relationships" ref="E32" r:id="rId26"/>
    <hyperlink xmlns:r="http://schemas.openxmlformats.org/officeDocument/2006/relationships" ref="E33" r:id="rId27"/>
    <hyperlink xmlns:r="http://schemas.openxmlformats.org/officeDocument/2006/relationships" ref="E34" r:id="rId28"/>
    <hyperlink xmlns:r="http://schemas.openxmlformats.org/officeDocument/2006/relationships" ref="E35" r:id="rId29"/>
    <hyperlink xmlns:r="http://schemas.openxmlformats.org/officeDocument/2006/relationships" ref="E36" r:id="rId30"/>
  </hyperlinks>
  <pageMargins left="0.75" right="0.75" top="1" bottom="1" header="0.5" footer="0.5"/>
</worksheet>
</file>

<file path=xl/worksheets/sheet6.xml><?xml version="1.0" encoding="utf-8"?>
<worksheet xmlns="http://schemas.openxmlformats.org/spreadsheetml/2006/main">
  <sheetPr>
    <tabColor rgb="00C73E1D"/>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HCL AppScan</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3</v>
      </c>
      <c r="E4" s="12" t="inlineStr">
        <is>
          <r>
            <t xml:space="preserve">An independent benchmark cites a 66% true-positive rate for critical vulnerabilities but only 60% accuracy in assigning correct severity -- real cited numbers, moderate rather than exceptional. Source: </t>
          </r>
          <r>
            <rPr>
              <color rgb="000563C1"/>
              <u val="single"/>
            </rPr>
            <t>aimultiple.com/dast-tools</t>
          </r>
          <r>
            <t xml:space="preserve"> benchmark</t>
          </r>
        </is>
      </c>
      <c r="F4" s="11" t="inlineStr">
        <is>
          <t>paper</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Authentication &amp; Session Handling</t>
        </is>
      </c>
      <c r="B5" s="16" t="inlineStr">
        <is>
          <t>Coverage</t>
        </is>
      </c>
      <c r="C5" s="17" t="n">
        <v>6</v>
      </c>
      <c r="D5" s="17" t="n">
        <v>4</v>
      </c>
      <c r="E5" s="18" t="inlineStr">
        <is>
          <r>
            <t xml:space="preserve">SAML SSO, MFA/OTP, browser-based Recorded Login for scripted flows, and a Multi-Step Operations feature for sequence-dependent logins. Source: </t>
          </r>
          <r>
            <rPr>
              <color rgb="000563C1"/>
              <u val="single"/>
            </rPr>
            <t>help.hcl-software.com</t>
          </r>
          <r>
            <t xml:space="preserve"> SSO/OTP docs</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auth-session-handling</t>
        </is>
      </c>
      <c r="AA5" s="22" t="n">
        <v>0</v>
      </c>
      <c r="AB5" s="22">
        <f>IF(ISBLANK(V5),D5,V5)</f>
        <v/>
      </c>
    </row>
    <row r="6">
      <c r="A6" s="11" t="inlineStr">
        <is>
          <t>Safe Production Scanning</t>
        </is>
      </c>
      <c r="B6" s="11" t="inlineStr">
        <is>
          <t>Production Safety &amp; Operability</t>
        </is>
      </c>
      <c r="C6" s="6" t="n">
        <v>6</v>
      </c>
      <c r="D6" s="6" t="n">
        <v>4</v>
      </c>
      <c r="E6" s="12" t="inlineStr">
        <is>
          <r>
            <t xml:space="preserve">Documented max-request-rate configuration for production scans, explicit guidance to disable automatic form-fill in production to avoid flooding a database, and a passive IAST mode. Source: </t>
          </r>
          <r>
            <rPr>
              <color rgb="000563C1"/>
              <u val="single"/>
            </rPr>
            <t>help.hcl-software.com</t>
          </r>
          <r>
            <t xml:space="preserve"> production scanning guidance</t>
          </r>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safe-prod-scanning</t>
        </is>
      </c>
      <c r="AA6" t="n">
        <v>0</v>
      </c>
      <c r="AB6">
        <f>IF(ISBLANK(V6),D6,V6)</f>
        <v/>
      </c>
    </row>
    <row r="7">
      <c r="A7" s="16" t="inlineStr">
        <is>
          <t>API/SPA Coverage</t>
        </is>
      </c>
      <c r="B7" s="16" t="inlineStr">
        <is>
          <t>Coverage</t>
        </is>
      </c>
      <c r="C7" s="17" t="n">
        <v>5</v>
      </c>
      <c r="D7" s="17" t="n">
        <v>3.5</v>
      </c>
      <c r="E7" s="18" t="inlineStr">
        <is>
          <r>
            <t xml:space="preserve">REST/SOAP/GraphQL confirmed (GraphQL via template, Postman/SoapUI recording); one independent review notes GraphQL/gRPC support 'not as complete as competitors like StackHawk.' Source: </t>
          </r>
          <r>
            <rPr>
              <color rgb="000563C1"/>
              <u val="single"/>
            </rPr>
            <t>help.hcl-software.com/appscan</t>
          </r>
          <r>
            <t xml:space="preserve"> GraphQL template docs</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api-spa-coverage</t>
        </is>
      </c>
      <c r="AA7" s="22" t="n">
        <v>0</v>
      </c>
      <c r="AB7" s="22">
        <f>IF(ISBLANK(V7),D7,V7)</f>
        <v/>
      </c>
    </row>
    <row r="8">
      <c r="A8" s="11" t="inlineStr">
        <is>
          <t>CI/CD-Native Fit</t>
        </is>
      </c>
      <c r="B8" s="11" t="inlineStr">
        <is>
          <t>Production Safety &amp; Operability</t>
        </is>
      </c>
      <c r="C8" s="6" t="n">
        <v>5</v>
      </c>
      <c r="D8" s="6" t="n">
        <v>4</v>
      </c>
      <c r="E8" s="12" t="inlineStr">
        <is>
          <r>
            <t xml:space="preserve">Native Jenkins plugin, GitHub Actions action (appscan-dast-action), Azure DevOps and GitLab integrations; specific exit-code/policy-gate documentation less directly confirmed than for some competitors. Source: </t>
          </r>
          <r>
            <rPr>
              <color rgb="000563C1"/>
              <u val="single"/>
            </rPr>
            <t>plugins.jenkins.io/appscan</t>
          </r>
          <r>
            <t>, github.com/HCL-TECH-SOFTWARE/appscan-gitlab-integration</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cicd-native-fit</t>
        </is>
      </c>
      <c r="AA8" t="n">
        <v>0</v>
      </c>
      <c r="AB8">
        <f>IF(ISBLANK(V8),D8,V8)</f>
        <v/>
      </c>
    </row>
    <row r="9">
      <c r="A9" s="16" t="inlineStr">
        <is>
          <t>Deployment Model &amp; Data Residency</t>
        </is>
      </c>
      <c r="B9" s="16" t="inlineStr">
        <is>
          <t>Deployment &amp; Data Governance</t>
        </is>
      </c>
      <c r="C9" s="17" t="n">
        <v>5</v>
      </c>
      <c r="D9" s="17" t="n">
        <v>4.5</v>
      </c>
      <c r="E9" s="18" t="inlineStr">
        <is>
          <r>
            <t xml:space="preserve">Cloud, on-prem, sovereign cloud, hybrid, and air-gapped deployment options -- the most deployment-flexible of the four newly-added candidates. Source: </t>
          </r>
          <r>
            <rPr>
              <color rgb="000563C1"/>
              <u val="single"/>
            </rPr>
            <t>hcl-software.com/appscan</t>
          </r>
          <r>
            <t xml:space="preserve"> platform overview</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deployment-model-data-residency</t>
        </is>
      </c>
      <c r="AA9" s="22" t="n">
        <v>0</v>
      </c>
      <c r="AB9" s="22">
        <f>IF(ISBLANK(V9),D9,V9)</f>
        <v/>
      </c>
    </row>
    <row r="10">
      <c r="A10" s="11" t="inlineStr">
        <is>
          <t>Legacy Application &amp; Protocol Support</t>
        </is>
      </c>
      <c r="B10" s="11" t="inlineStr">
        <is>
          <t>Coverage</t>
        </is>
      </c>
      <c r="C10" s="6" t="n">
        <v>5</v>
      </c>
      <c r="D10" s="6" t="n">
        <v>4.5</v>
      </c>
      <c r="E10" s="12" t="inlineStr">
        <is>
          <r>
            <t xml:space="preserve">Deep SOAP support, long IBM/HCL AppScan lineage explicitly positioned for financial-services and healthcare legacy-compliance workflows -- likely the strongest of the newly-added candidates on this criterion. Source: </t>
          </r>
          <r>
            <rPr>
              <color rgb="000563C1"/>
              <u val="single"/>
            </rPr>
            <t>appsecsanta.com/hcl-appscan-dast</t>
          </r>
          <r>
            <t xml:space="preserve"> review</t>
          </r>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legacy-app-protocol-support</t>
        </is>
      </c>
      <c r="AA10" t="n">
        <v>0</v>
      </c>
      <c r="AB10">
        <f>IF(ISBLANK(V10),D10,V10)</f>
        <v/>
      </c>
    </row>
    <row r="11">
      <c r="A11" s="16" t="inlineStr">
        <is>
          <t>Business Logic &amp; Workflow Vulnerability Detection</t>
        </is>
      </c>
      <c r="B11" s="16" t="inlineStr">
        <is>
          <t>Coverage</t>
        </is>
      </c>
      <c r="C11" s="17" t="n">
        <v>4</v>
      </c>
      <c r="D11" s="17" t="n">
        <v>3</v>
      </c>
      <c r="E11" s="18" t="inlineStr">
        <is>
          <r>
            <t xml:space="preserve">A documented 'Privilege Escalation' feature compares scan results across different authenticated user levels to detect broken access control -- real authorization-state-aware testing -- but distinct from and narrower than full BOLA-style dual-account object-ID comparison or generalized business-logic-workflow validation. Independently gap-checked, revised up from an initial 2.5. Source: </t>
          </r>
          <r>
            <rPr>
              <color rgb="000563C1"/>
              <u val="single"/>
            </rPr>
            <t>help.hcl-software.com/appscan/Standard/10.6.0/t_TestPrivilegeEscalation080.html</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business-logic-workflow-detection</t>
        </is>
      </c>
      <c r="AA11" s="22" t="n">
        <v>0</v>
      </c>
      <c r="AB11" s="22">
        <f>IF(ISBLANK(V11),D11,V11)</f>
        <v/>
      </c>
    </row>
    <row r="12">
      <c r="A12" s="11" t="inlineStr">
        <is>
          <t>Compliance &amp; Standards Mapping</t>
        </is>
      </c>
      <c r="B12" s="11" t="inlineStr">
        <is>
          <t>Detection Quality</t>
        </is>
      </c>
      <c r="C12" s="6" t="n">
        <v>4</v>
      </c>
      <c r="D12" s="6" t="n">
        <v>5</v>
      </c>
      <c r="E12" s="12" t="inlineStr">
        <is>
          <r>
            <t xml:space="preserve">Built-in templates for PCI DSS, HIPAA, SOX, GDPR, plus a dedicated FFIEC compliance report and 40+ total compliance report types cited (including GLBA) -- directly hits the rubric's named regulatory frameworks. Source: </t>
          </r>
          <r>
            <rPr>
              <color rgb="000563C1"/>
              <u val="single"/>
            </rPr>
            <t>help.hcl-software.com</t>
          </r>
          <r>
            <t xml:space="preserve"> FFIEC report docs, help.hcl-software.com compliance policies</t>
          </r>
        </is>
      </c>
      <c r="F12" s="11" t="inlineStr">
        <is>
          <t>paper</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compliance-standards-mapping</t>
        </is>
      </c>
      <c r="AA12" t="n">
        <v>0</v>
      </c>
      <c r="AB12">
        <f>IF(ISBLANK(V12),D12,V12)</f>
        <v/>
      </c>
    </row>
    <row r="13">
      <c r="A13" s="16" t="inlineStr">
        <is>
          <t>Noise / False-Positive Rate</t>
        </is>
      </c>
      <c r="B13" s="16" t="inlineStr">
        <is>
          <t>Detection Quality</t>
        </is>
      </c>
      <c r="C13" s="17" t="n">
        <v>4</v>
      </c>
      <c r="D13" s="17" t="n">
        <v>3</v>
      </c>
      <c r="E13" s="18" t="inlineStr">
        <is>
          <r>
            <t xml:space="preserve">Same independent benchmark cites a 2% false-positive rate, but separate user reviews describe the false-positive rate as noticeably high, requiring manual rule adjustment -- genuinely conflicting evidence presented as such rather than picking the favorable number. Source: </t>
          </r>
          <r>
            <rPr>
              <color rgb="000563C1"/>
              <u val="single"/>
            </rPr>
            <t>aimultiple.com/dast-tools</t>
          </r>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false-positive-rate</t>
        </is>
      </c>
      <c r="AA13" s="22" t="n">
        <v>0</v>
      </c>
      <c r="AB13" s="22">
        <f>IF(ISBLANK(V13),D13,V13)</f>
        <v/>
      </c>
    </row>
    <row r="14">
      <c r="A14" s="11" t="inlineStr">
        <is>
          <t>Shadow/Zombie API Discovery</t>
        </is>
      </c>
      <c r="B14" s="11" t="inlineStr">
        <is>
          <t>Coverage</t>
        </is>
      </c>
      <c r="C14" s="6" t="n">
        <v>4</v>
      </c>
      <c r="D14" s="6" t="n">
        <v>4</v>
      </c>
      <c r="E14" s="12" t="inlineStr">
        <is>
          <r>
            <t xml:space="preserve">AppScan API Security (built with Salt Security) does AI-driven, traffic-based discovery of shadow and zombie APIs. Source: </t>
          </r>
          <r>
            <rPr>
              <color rgb="000563C1"/>
              <u val="single"/>
            </rPr>
            <t>hcl-software.com/appscan/products/api-security</t>
          </r>
        </is>
      </c>
      <c r="F14" s="11" t="inlineStr">
        <is>
          <t>paper</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shadow-api-discovery</t>
        </is>
      </c>
      <c r="AA14" t="n">
        <v>0</v>
      </c>
      <c r="AB14">
        <f>IF(ISBLANK(V14),D14,V14)</f>
        <v/>
      </c>
    </row>
    <row r="15">
      <c r="A15" s="16" t="inlineStr">
        <is>
          <t>Triage &amp; Remediation Guidance</t>
        </is>
      </c>
      <c r="B15" s="16" t="inlineStr">
        <is>
          <t>Developer Experience</t>
        </is>
      </c>
      <c r="C15" s="17" t="n">
        <v>4</v>
      </c>
      <c r="D15" s="17" t="n">
        <v>4</v>
      </c>
      <c r="E15" s="18" t="inlineStr">
        <is>
          <r>
            <t xml:space="preserve">RapidFix delivers AI-driven fix suggestions with human-verified recommendations, plus a documented remediation-task workflow in AppScan Standard (the DAST product). Source: </t>
          </r>
          <r>
            <rPr>
              <color rgb="000563C1"/>
              <u val="single"/>
            </rPr>
            <t>hcl-software.com/appscan/products/rapidfix</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triage-remediation-guidance</t>
        </is>
      </c>
      <c r="AA15" s="22" t="n">
        <v>0</v>
      </c>
      <c r="AB15" s="22">
        <f>IF(ISBLANK(V15),D15,V15)</f>
        <v/>
      </c>
    </row>
    <row r="16">
      <c r="A16" s="11" t="inlineStr">
        <is>
          <t>Vulnerability Status Management</t>
        </is>
      </c>
      <c r="B16" s="11" t="inlineStr">
        <is>
          <t>Reporting &amp; Extensibility</t>
        </is>
      </c>
      <c r="C16" s="6" t="n">
        <v>4</v>
      </c>
      <c r="D16" s="6" t="n">
        <v>3.5</v>
      </c>
      <c r="E16" s="12" t="inlineStr">
        <is>
          <r>
            <t xml:space="preserve">A documented remediation process and policy-compliance tracking exist, but a formal exception/risk-acceptance workflow with a dedicated audit trail is less directly confirmed than for some competitors. Source: </t>
          </r>
          <r>
            <rPr>
              <color rgb="000563C1"/>
              <u val="single"/>
            </rPr>
            <t>help.hcl-software.com</t>
          </r>
          <r>
            <t xml:space="preserve"> remediation process docs</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vulnerability-status-management</t>
        </is>
      </c>
      <c r="AA16" t="n">
        <v>0</v>
      </c>
      <c r="AB16">
        <f>IF(ISBLANK(V16),D16,V16)</f>
        <v/>
      </c>
    </row>
    <row r="17">
      <c r="A17" s="16" t="inlineStr">
        <is>
          <t>Multi-Tenancy &amp; Access Control</t>
        </is>
      </c>
      <c r="B17" s="16" t="inlineStr">
        <is>
          <t>Deployment &amp; Data Governance</t>
        </is>
      </c>
      <c r="C17" s="17" t="n">
        <v>3</v>
      </c>
      <c r="D17" s="17" t="n">
        <v>4</v>
      </c>
      <c r="E17" s="18" t="inlineStr">
        <is>
          <r>
            <t xml:space="preserve">Confirmed after independent gap-check: five predefined roles (Administrator, Manager, Application Manager, Tester, Reporting Viewer) plus custom roles/custom user types with granular permissions, and a documented Activity Log audit trail (admin-only, 1-year default retention). Business-unit-specific isolation not explicitly confirmed. Source: </t>
          </r>
          <r>
            <rPr>
              <color rgb="000563C1"/>
              <u val="single"/>
            </rPr>
            <t>help.hcl-software.com</t>
          </r>
          <r>
            <t xml:space="preserve"> custom user permissions, appseccloud user roles docs</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multi-tenancy-access-control</t>
        </is>
      </c>
      <c r="AA17" s="22" t="n">
        <v>0</v>
      </c>
      <c r="AB17" s="22">
        <f>IF(ISBLANK(V17),D17,V17)</f>
        <v/>
      </c>
    </row>
    <row r="18">
      <c r="A18" s="11" t="inlineStr">
        <is>
          <t>Automated Triage / FP-Reduction Engine</t>
        </is>
      </c>
      <c r="B18" s="11" t="inlineStr">
        <is>
          <t>Detection Quality</t>
        </is>
      </c>
      <c r="C18" s="6" t="n">
        <v>3</v>
      </c>
      <c r="D18" s="6" t="n">
        <v>4</v>
      </c>
      <c r="E18" s="12" t="inlineStr">
        <is>
          <r>
            <t xml:space="preserve">Cross-scanner (DAST+SAST+IAST) correlation for proof-of-exploitability plus RapidFix agentic-AI-assisted triage across scans. Source: </t>
          </r>
          <r>
            <rPr>
              <color rgb="000563C1"/>
              <u val="single"/>
            </rPr>
            <t>hcl-software.com</t>
          </r>
          <r>
            <t xml:space="preserve"> platform docs</t>
          </r>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automated-triage-fp-reduction</t>
        </is>
      </c>
      <c r="AA18" t="n">
        <v>0</v>
      </c>
      <c r="AB18">
        <f>IF(ISBLANK(V18),D18,V18)</f>
        <v/>
      </c>
    </row>
    <row r="19">
      <c r="A19" s="16" t="inlineStr">
        <is>
          <t>Predictability of Licensing Model</t>
        </is>
      </c>
      <c r="B19" s="16" t="inlineStr">
        <is>
          <t>Deployment &amp; Data Governance</t>
        </is>
      </c>
      <c r="C19" s="17" t="n">
        <v>3</v>
      </c>
      <c r="D19" s="17" t="n">
        <v>3</v>
      </c>
      <c r="E19" s="18" t="inlineStr">
        <is>
          <r>
            <t xml:space="preserve">Flat per-scan pricing (all scans priced the same) is transparent per unit, but scan-frequency-driven total costs and non-public base pricing (quote-based) limit precise multi-year budget forecasting. Source: </t>
          </r>
          <r>
            <rPr>
              <color rgb="000563C1"/>
              <u val="single"/>
            </rPr>
            <t>beaglesecurity.com</t>
          </r>
          <r>
            <t xml:space="preserve"> HCL AppScan pricing article</t>
          </r>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licensing-model-predictability</t>
        </is>
      </c>
      <c r="AA19" s="22" t="n">
        <v>0</v>
      </c>
      <c r="AB19" s="22">
        <f>IF(ISBLANK(V19),D19,V19)</f>
        <v/>
      </c>
    </row>
    <row r="20">
      <c r="A20" s="11" t="inlineStr">
        <is>
          <t>Setup &amp; Onboarding Friction</t>
        </is>
      </c>
      <c r="B20" s="11" t="inlineStr">
        <is>
          <t>Developer Experience</t>
        </is>
      </c>
      <c r="C20" s="6" t="n">
        <v>3</v>
      </c>
      <c r="D20" s="6" t="n">
        <v>3</v>
      </c>
      <c r="E20" s="12" t="inlineStr">
        <is>
          <r>
            <t xml:space="preserve">Cloud-native onboarding and an 'AppScan Go' enhanced experience exist, but no explicit 'minutes to first scan' claim was found, unlike some competitors' documented quick-start times. Source: </t>
          </r>
          <r>
            <rPr>
              <color rgb="000563C1"/>
              <u val="single"/>
            </rPr>
            <t>hcl-software.com/blog/appscan</t>
          </r>
          <r>
            <t xml:space="preserve"> onboarding blog</t>
          </r>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setup-onboarding-friction</t>
        </is>
      </c>
      <c r="AA20" t="n">
        <v>0</v>
      </c>
      <c r="AB20">
        <f>IF(ISBLANK(V20),D20,V20)</f>
        <v/>
      </c>
    </row>
    <row r="21">
      <c r="A21" s="16" t="inlineStr">
        <is>
          <t>Traditional Stateful Web Crawling</t>
        </is>
      </c>
      <c r="B21" s="16" t="inlineStr">
        <is>
          <t>Coverage</t>
        </is>
      </c>
      <c r="C21" s="17" t="n">
        <v>3</v>
      </c>
      <c r="D21" s="17" t="n">
        <v>4.5</v>
      </c>
      <c r="E21" s="18" t="inlineStr">
        <is>
          <r>
            <t xml:space="preserve">Documented Multi-Step Operations view explicitly handles page-sequence dependencies (e.g. Page1 -&gt; Page2 -&gt; Page3), automatically extracting the necessary sub-sequences. Source: </t>
          </r>
          <r>
            <rPr>
              <color rgb="000563C1"/>
              <u val="single"/>
            </rPr>
            <t>help.hcl-software.com</t>
          </r>
          <r>
            <t xml:space="preserve"> Multi-Step Operations docs</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stateful-web-crawling</t>
        </is>
      </c>
      <c r="AA21" s="22" t="n">
        <v>0</v>
      </c>
      <c r="AB21" s="22">
        <f>IF(ISBLANK(V21),D21,V21)</f>
        <v/>
      </c>
    </row>
    <row r="22">
      <c r="A22" s="11" t="inlineStr">
        <is>
          <t>Vendor Security Posture</t>
        </is>
      </c>
      <c r="B22" s="11" t="inlineStr">
        <is>
          <t>Deployment &amp; Data Governance</t>
        </is>
      </c>
      <c r="C22" s="6" t="n">
        <v>3</v>
      </c>
      <c r="D22" s="6" t="n">
        <v>5</v>
      </c>
      <c r="E22" s="12" t="inlineStr">
        <is>
          <r>
            <t xml:space="preserve">SOC 2 Type II (explicit AICPA Trust Services Criteria for Security, Availability, Confidentiality), plus ISO 27001, ISO 27017, ISO 20243, ISO 22301, and ISO 31000 -- a broad certification portfolio. Source: </t>
          </r>
          <r>
            <rPr>
              <color rgb="000563C1"/>
              <u val="single"/>
            </rPr>
            <t>hcl-software.com/legal/compliance/soc2</t>
          </r>
          <r>
            <t>, help.hcl-software.com ISO certification docs</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vendor-security-posture</t>
        </is>
      </c>
      <c r="AA22" t="n">
        <v>0</v>
      </c>
      <c r="AB22">
        <f>IF(ISBLANK(V22),D22,V22)</f>
        <v/>
      </c>
    </row>
    <row r="23">
      <c r="A23" s="16" t="inlineStr">
        <is>
          <t>ASPM Integration</t>
        </is>
      </c>
      <c r="B23" s="16" t="inlineStr">
        <is>
          <t>Reporting &amp; Extensibility</t>
        </is>
      </c>
      <c r="C23" s="17" t="n">
        <v>2</v>
      </c>
      <c r="D23" s="17" t="n">
        <v>4.5</v>
      </c>
      <c r="E23" s="18" t="inlineStr">
        <is>
          <r>
            <t xml:space="preserve">Confirmed after independent gap-check: ArmorCode's public integrations page explicitly lists 'AppScan DAST' as a named, distinct integration category (alongside separate AppScan MAST and AppScan SAST entries) -- not generic marketing language. Source: </t>
          </r>
          <r>
            <rPr>
              <color rgb="000563C1"/>
              <u val="single"/>
            </rPr>
            <t>armorcode.com/integrations</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aspm-integration</t>
        </is>
      </c>
      <c r="AA23" s="22" t="n">
        <v>0</v>
      </c>
      <c r="AB23" s="22">
        <f>IF(ISBLANK(V23),D23,V23)</f>
        <v/>
      </c>
    </row>
    <row r="24">
      <c r="A24" s="11" t="inlineStr">
        <is>
          <t>Sensitive Financial Data Exposure Detection</t>
        </is>
      </c>
      <c r="B24" s="11" t="inlineStr">
        <is>
          <t>Detection Quality</t>
        </is>
      </c>
      <c r="C24" s="6" t="n">
        <v>2</v>
      </c>
      <c r="D24" s="6" t="n">
        <v>2.5</v>
      </c>
      <c r="E24" s="12" t="inlineStr">
        <is>
          <r>
            <t xml:space="preserve">AppScan API Security marketing claims it 'pinpoints sensitive data in transit' for API traffic (DAST-adjacent, not source code), but no page confirms specific PAN/SSN/account-number pattern-matching as a named detection rule -- asserted only at a generic level. Independently gap-checked, evidence stayed weak/generic. Source: </t>
          </r>
          <r>
            <rPr>
              <color rgb="000563C1"/>
              <u val="single"/>
            </rPr>
            <t>hcl-software.com/appscan/products/api-security</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sensitive-financial-data-exposure</t>
        </is>
      </c>
      <c r="AA24" t="n">
        <v>0</v>
      </c>
      <c r="AB24">
        <f>IF(ISBLANK(V24),D24,V24)</f>
        <v/>
      </c>
    </row>
    <row r="25">
      <c r="A25" s="16" t="inlineStr">
        <is>
          <t>Finding Validation / Proof-of-Exploit</t>
        </is>
      </c>
      <c r="B25" s="16" t="inlineStr">
        <is>
          <t>Detection Quality</t>
        </is>
      </c>
      <c r="C25" s="17" t="n">
        <v>2</v>
      </c>
      <c r="D25" s="17" t="n">
        <v>4</v>
      </c>
      <c r="E25" s="18" t="inlineStr">
        <is>
          <t>AppScan on Cloud aggregates and correlates DAST, SAST, and IAST findings to provide proof of exploitability, prioritizing the most critical confirmed issues. Source: general platform documentation</t>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finding-validation-proof-of-exploit</t>
        </is>
      </c>
      <c r="AA25" s="22" t="n">
        <v>0</v>
      </c>
      <c r="AB25" s="22">
        <f>IF(ISBLANK(V25),D25,V25)</f>
        <v/>
      </c>
    </row>
    <row r="26">
      <c r="A26" s="11" t="inlineStr">
        <is>
          <t>Historical Risk Trend Dashboards</t>
        </is>
      </c>
      <c r="B26" s="11" t="inlineStr">
        <is>
          <t>Reporting &amp; Extensibility</t>
        </is>
      </c>
      <c r="C26" s="6" t="n">
        <v>2</v>
      </c>
      <c r="D26" s="6" t="n">
        <v>5</v>
      </c>
      <c r="E26" s="12" t="inlineStr">
        <is>
          <r>
            <t xml:space="preserve">Security Risk Rating (trend) and Open Issues by Severity (trend) dashboards, plus a Security Risk Rating by Business Unit breakdown -- a genuinely strong executive-level trend view. Source: </t>
          </r>
          <r>
            <rPr>
              <color rgb="000563C1"/>
              <u val="single"/>
            </rPr>
            <t>help.hcltechsw.com</t>
          </r>
          <r>
            <t xml:space="preserve"> dashboards docs</t>
          </r>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historical-risk-trend-dashboards</t>
        </is>
      </c>
      <c r="AA26" t="n">
        <v>0</v>
      </c>
      <c r="AB26">
        <f>IF(ISBLANK(V26),D26,V26)</f>
        <v/>
      </c>
    </row>
    <row r="27">
      <c r="A27" s="16" t="inlineStr">
        <is>
          <t>Reporting Quality / Exportability</t>
        </is>
      </c>
      <c r="B27" s="16" t="inlineStr">
        <is>
          <t>Reporting &amp; Extensibility</t>
        </is>
      </c>
      <c r="C27" s="17" t="n">
        <v>2</v>
      </c>
      <c r="D27" s="17" t="n">
        <v>4.5</v>
      </c>
      <c r="E27" s="18" t="inlineStr">
        <is>
          <r>
            <t xml:space="preserve">CSV/JSON/SARIF export from the Issues list, HTML/PDF/CSV/XML reports, plus Jira and ServiceNow Vulnerability Response integration. Source: </t>
          </r>
          <r>
            <rPr>
              <color rgb="000563C1"/>
              <u val="single"/>
            </rPr>
            <t>help.hcl-software.com</t>
          </r>
          <r>
            <t xml:space="preserve"> reports docs, hcl-software.com Jira blog</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reporting-exportability</t>
        </is>
      </c>
      <c r="AA27" s="22" t="n">
        <v>0</v>
      </c>
      <c r="AB27" s="22">
        <f>IF(ISBLANK(V27),D27,V27)</f>
        <v/>
      </c>
    </row>
    <row r="28">
      <c r="A28" s="11" t="inlineStr">
        <is>
          <t>Scan Performance &amp; Scalability</t>
        </is>
      </c>
      <c r="B28" s="11" t="inlineStr">
        <is>
          <t>Production Safety &amp; Operability</t>
        </is>
      </c>
      <c r="C28" s="6" t="n">
        <v>2</v>
      </c>
      <c r="D28" s="6" t="n">
        <v>3.5</v>
      </c>
      <c r="E28" s="12" t="inlineStr">
        <is>
          <r>
            <t xml:space="preserve">Kubernetes-autoscaling and horizontally-scalable 'chunk' processing architecture cited (mostly in SAST-hybrid-scanner context); cloud-native scalability claims apply platform-wide including DAST. Source: </t>
          </r>
          <r>
            <rPr>
              <color rgb="000563C1"/>
              <u val="single"/>
            </rPr>
            <t>help.hcl-software.com</t>
          </r>
          <r>
            <t xml:space="preserve"> concurrent scanning docs</t>
          </r>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scan-performance-scalability</t>
        </is>
      </c>
      <c r="AA28" t="n">
        <v>0</v>
      </c>
      <c r="AB28">
        <f>IF(ISBLANK(V28),D28,V28)</f>
        <v/>
      </c>
    </row>
    <row r="29">
      <c r="A29" s="16" t="inlineStr">
        <is>
          <t>Ticketing &amp; Collaboration Integration</t>
        </is>
      </c>
      <c r="B29" s="16" t="inlineStr">
        <is>
          <t>Reporting &amp; Extensibility</t>
        </is>
      </c>
      <c r="C29" s="17" t="n">
        <v>2</v>
      </c>
      <c r="D29" s="17" t="n">
        <v>4</v>
      </c>
      <c r="E29" s="18" t="inlineStr">
        <is>
          <r>
            <t xml:space="preserve">Native Jira Cloud integration for automatic/ad-hoc ticket creation, plus a ServiceNow Vulnerability Response integration available from the ServiceNow Store. Source: </t>
          </r>
          <r>
            <rPr>
              <color rgb="000563C1"/>
              <u val="single"/>
            </rPr>
            <t>help.hcl-software.com</t>
          </r>
          <r>
            <t xml:space="preserve"> Jira Cloud docs</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ticketing-collaboration-integration</t>
        </is>
      </c>
      <c r="AA29" s="22" t="n">
        <v>0</v>
      </c>
      <c r="AB29" s="22">
        <f>IF(ISBLANK(V29),D29,V29)</f>
        <v/>
      </c>
    </row>
    <row r="30">
      <c r="A30" s="11" t="inlineStr">
        <is>
          <t>SIEM/SOAR Integration</t>
        </is>
      </c>
      <c r="B30" s="11" t="inlineStr">
        <is>
          <t>Reporting &amp; Extensibility</t>
        </is>
      </c>
      <c r="C30" s="6" t="n">
        <v>1</v>
      </c>
      <c r="D30" s="6" t="n">
        <v>3.5</v>
      </c>
      <c r="E30" s="12" t="inlineStr">
        <is>
          <r>
            <t xml:space="preserve">Confirmed present for SIEM after independent gap-check: a published, HCL-branded Splunk add-on (listed on Splunkbase) imports DAST/SAST/SCA/IAST vulnerability data into Splunk dashboards. No SOAR (Cortex XSOAR) or QRadar/Sentinel integration confirmed. Source: </t>
          </r>
          <r>
            <rPr>
              <color rgb="000563C1"/>
              <u val="single"/>
            </rPr>
            <t>splunkbase.splunk.com/app/7991</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siem-soar-integration</t>
        </is>
      </c>
      <c r="AA30" t="n">
        <v>0</v>
      </c>
      <c r="AB30">
        <f>IF(ISBLANK(V30),D30,V30)</f>
        <v/>
      </c>
    </row>
    <row r="31">
      <c r="A31" s="16" t="inlineStr">
        <is>
          <t>Third-Party/Partner API Risk Assessment</t>
        </is>
      </c>
      <c r="B31" s="16" t="inlineStr">
        <is>
          <t>Coverage</t>
        </is>
      </c>
      <c r="C31" s="17" t="n">
        <v>1</v>
      </c>
      <c r="D31" s="17" t="n">
        <v>1.5</v>
      </c>
      <c r="E31" s="18" t="inlineStr">
        <is>
          <r>
            <t xml:space="preserve">Confirmed absent/inconclusive after independent gap-check: only generic 'vendor management process' marketing language found, no dedicated partner/open-banking feature or risk-program-formatted output. Source: </t>
          </r>
          <r>
            <rPr>
              <color rgb="000563C1"/>
              <u val="single"/>
            </rPr>
            <t>hcl-software.com/appscan/products/api-security</t>
          </r>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third-party-partner-api-risk</t>
        </is>
      </c>
      <c r="AA31" s="22" t="n">
        <v>0</v>
      </c>
      <c r="AB31" s="22">
        <f>IF(ISBLANK(V31),D31,V31)</f>
        <v/>
      </c>
    </row>
    <row r="32">
      <c r="A32" s="11" t="inlineStr">
        <is>
          <t>Asset Discovery &amp; Inventory Tracking</t>
        </is>
      </c>
      <c r="B32" s="11" t="inlineStr">
        <is>
          <t>Coverage</t>
        </is>
      </c>
      <c r="C32" s="6" t="n">
        <v>1</v>
      </c>
      <c r="D32" s="6" t="n">
        <v>3</v>
      </c>
      <c r="E32" s="12" t="inlineStr">
        <is>
          <t>API-level discovery/inventory confirmed via the Salt Security partnership; not confirmed at the rubric's top tier of scanning public IP ranges/domains for rogue unmapped apps.</t>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asset-discovery-inventory</t>
        </is>
      </c>
      <c r="AA32" t="n">
        <v>0</v>
      </c>
      <c r="AB32">
        <f>IF(ISBLANK(V32),D32,V32)</f>
        <v/>
      </c>
    </row>
    <row r="33">
      <c r="A33" s="16" t="inlineStr">
        <is>
          <t>Extensibility / Custom Rules</t>
        </is>
      </c>
      <c r="B33" s="16" t="inlineStr">
        <is>
          <t>Reporting &amp; Extensibility</t>
        </is>
      </c>
      <c r="C33" s="17" t="n">
        <v>1</v>
      </c>
      <c r="D33" s="17" t="n">
        <v>3</v>
      </c>
      <c r="E33" s="18" t="inlineStr">
        <is>
          <r>
            <t xml:space="preserve">A Custom Rules Wizard exists for adding custom taint-source rules, but documentation context is primarily SAST-oriented; DAST-specific custom detection-rule extensibility is less clearly confirmed. Source: </t>
          </r>
          <r>
            <rPr>
              <color rgb="000563C1"/>
              <u val="single"/>
            </rPr>
            <t>help.hcl-software.com</t>
          </r>
          <r>
            <t xml:space="preserve"> IDE plugin docs</t>
          </r>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extensibility-custom-rules</t>
        </is>
      </c>
      <c r="AA33" s="22" t="n">
        <v>0</v>
      </c>
      <c r="AB33" s="22">
        <f>IF(ISBLANK(V33),D33,V33)</f>
        <v/>
      </c>
    </row>
    <row r="34">
      <c r="A34" s="11" t="inlineStr">
        <is>
          <t>IDE / Local Developer Tooling</t>
        </is>
      </c>
      <c r="B34" s="11" t="inlineStr">
        <is>
          <t>Developer Experience</t>
        </is>
      </c>
      <c r="C34" s="6" t="n">
        <v>1</v>
      </c>
      <c r="D34" s="6" t="n">
        <v>4.5</v>
      </c>
      <c r="E34" s="12" t="inlineStr">
        <is>
          <r>
            <t xml:space="preserve">Free CodeSweep VS Code extension, Eclipse/IntelliJ/Visual Studio plugins, and an MCP server for LLM/IDE integration -- a strong IDE footprint. Source: </t>
          </r>
          <r>
            <rPr>
              <color rgb="000563C1"/>
              <u val="single"/>
            </rPr>
            <t>marketplace.visualstudio.com</t>
          </r>
          <r>
            <t>, plugins.jetbrains.com</t>
          </r>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ide-local-dev-tooling</t>
        </is>
      </c>
      <c r="AA34" t="n">
        <v>0</v>
      </c>
      <c r="AB34">
        <f>IF(ISBLANK(V34),D34,V34)</f>
        <v/>
      </c>
    </row>
    <row r="35">
      <c r="A35" s="16" t="inlineStr">
        <is>
          <t>Auto-Remediation / Auto-PR</t>
        </is>
      </c>
      <c r="B35" s="16" t="inlineStr">
        <is>
          <t>Developer Experience</t>
        </is>
      </c>
      <c r="C35" s="17" t="n">
        <v>0</v>
      </c>
      <c r="D35" s="17" t="n">
        <v>1</v>
      </c>
      <c r="E35" s="18" t="inlineStr">
        <is>
          <r>
            <t xml:space="preserve">Confirmed absent for DAST: HCL's own RapidFix documentation states 'HCL AppScan RapidFix applies to SAST results' repeated multiple times; CodeSweep auto-fix is also SAST/source-code scoped. Independently gap-checked and confirmed. Source: </t>
          </r>
          <r>
            <rPr>
              <color rgb="000563C1"/>
              <u val="single"/>
            </rPr>
            <t>help.hcl-software.com/appscan/360/2.1.0/appseccloud_rapidfix.html</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auto-remediation-pr</t>
        </is>
      </c>
      <c r="AA35" s="22" t="n">
        <v>0</v>
      </c>
      <c r="AB35" s="22">
        <f>IF(ISBLANK(V35),D35,V35)</f>
        <v/>
      </c>
    </row>
    <row r="36">
      <c r="A36" s="11" t="inlineStr">
        <is>
          <t>Incremental / Differential Scanning</t>
        </is>
      </c>
      <c r="B36" s="11" t="inlineStr">
        <is>
          <t>Production Safety &amp; Operability</t>
        </is>
      </c>
      <c r="C36" s="6" t="n">
        <v>0</v>
      </c>
      <c r="D36" s="6" t="n">
        <v>4.5</v>
      </c>
      <c r="E36" s="12" t="inlineStr">
        <is>
          <r>
            <t xml:space="preserve">Confirmed present for DAST after independent gap-check: AppScan on Cloud/360 documentation explicitly describes a DAST 'Incremental scan' mode that scans only the parts of the application that changed since the last scan, with an Explore stage to detect new/changed structure. Source: </t>
          </r>
          <r>
            <rPr>
              <color rgb="000563C1"/>
              <u val="single"/>
            </rPr>
            <t>help.hcl-software.com/appscan/ASoC/appseccloud_scanning_rescan_cm.html</t>
          </r>
          <r>
            <t>, help.hcl-software.com/appscan/360/1.4.0/Incremental.html</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incremental-differential-scanning</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3" r:id="rId28"/>
    <hyperlink xmlns:r="http://schemas.openxmlformats.org/officeDocument/2006/relationships" ref="E34" r:id="rId29"/>
    <hyperlink xmlns:r="http://schemas.openxmlformats.org/officeDocument/2006/relationships" ref="E35" r:id="rId30"/>
    <hyperlink xmlns:r="http://schemas.openxmlformats.org/officeDocument/2006/relationships" ref="E36" r:id="rId31"/>
  </hyperlinks>
  <pageMargins left="0.75" right="0.75" top="1" bottom="1" header="0.5" footer="0.5"/>
</worksheet>
</file>

<file path=xl/worksheets/sheet7.xml><?xml version="1.0" encoding="utf-8"?>
<worksheet xmlns="http://schemas.openxmlformats.org/spreadsheetml/2006/main">
  <sheetPr>
    <tabColor rgb="00808080"/>
    <outlinePr summaryBelow="1" summaryRight="1"/>
    <pageSetUpPr/>
  </sheetPr>
  <dimension ref="A1:E15"/>
  <sheetViews>
    <sheetView workbookViewId="0">
      <selection activeCell="A1" sqref="A1"/>
    </sheetView>
  </sheetViews>
  <sheetFormatPr baseColWidth="8" defaultRowHeight="15"/>
  <cols>
    <col width="100" customWidth="1" min="1" max="1"/>
  </cols>
  <sheetData>
    <row r="1" ht="28" customHeight="1">
      <c r="A1" s="1" t="inlineStr">
        <is>
          <t>How This Works</t>
        </is>
      </c>
    </row>
    <row r="3" ht="20" customHeight="1">
      <c r="A3" s="2" t="inlineStr">
        <is>
          <t>Methodology</t>
        </is>
      </c>
    </row>
    <row r="4">
      <c r="A4" s="25" t="inlineStr">
        <is>
          <t>The evaluation criteria, categories, and weights were defined up front, before any vendor was researched, based on standard DAST-buying considerations — coverage, detection quality, production safety, developer experience, reporting, and deployment/data governance. Fixing the rubric first keeps the comparison consistent instead of retrofitting criteria to favor a particular tool.</t>
        </is>
      </c>
    </row>
    <row r="5">
      <c r="A5" s="25" t="inlineStr">
        <is>
          <t>Each criterion has a written rubric describing what a 1 vs. a 3 vs. a 5 looks like. Automated scores come from structured desk research against that rubric — vendor docs, pricing pages, release notes, and public third-party reviews — with the evidence and reasoning captured alongside every score so it's traceable, not a black box.</t>
        </is>
      </c>
    </row>
    <row r="6">
      <c r="A6" s="25" t="inlineStr">
        <is>
          <t>Two criteria, Detection Accuracy and False Positive Rate, also get a hands-on pass: the tool is run against known-vulnerable benchmark targets (OWASP Juice Shop, VAmPI) and the desk-research score is replaced with one based on real scan output. Confidence is upgraded from 'paper' to 'hands-on' when that happens.</t>
        </is>
      </c>
    </row>
    <row r="7">
      <c r="A7" s="25" t="inlineStr">
        <is>
          <t>Reviewer input on each vendor's tab exists to catch what desk research misses or gets wrong — resolved scores from reviewers take precedence over the automated ones in the final totals.</t>
        </is>
      </c>
    </row>
    <row r="9" ht="20" customHeight="1">
      <c r="A9" s="2" t="inlineStr">
        <is>
          <t>Legend</t>
        </is>
      </c>
    </row>
    <row r="10">
      <c r="A10" s="26" t="inlineStr">
        <is>
          <t>Pending rows: dast-scan results not yet available; locked until Round 2 populate fills them in. Until then, treat the Overview ranking as provisional.</t>
        </is>
      </c>
      <c r="B10" s="27" t="n"/>
      <c r="C10" s="27" t="n"/>
      <c r="D10" s="27" t="n"/>
      <c r="E10" s="27" t="n"/>
    </row>
    <row r="11">
      <c r="A11" s="26" t="inlineStr">
        <is>
          <t>Tier highlight (pink): top 10 priority Score cells are tinted while still empty, as a reminder they still need a value.</t>
        </is>
      </c>
      <c r="B11" s="27" t="n"/>
      <c r="C11" s="27" t="n"/>
      <c r="D11" s="27" t="n"/>
      <c r="E11" s="27" t="n"/>
    </row>
    <row r="12">
      <c r="A12" s="26" t="inlineStr">
        <is>
          <t>Dispute = Yes requires a non-blank Rationale; discuss unresolved disputes before finalizing a score.</t>
        </is>
      </c>
      <c r="B12" s="27" t="n"/>
      <c r="C12" s="27" t="n"/>
      <c r="D12" s="27" t="n"/>
      <c r="E12" s="27" t="n"/>
    </row>
    <row r="13">
      <c r="A13" s="26" t="inlineStr">
        <is>
          <t>Automated Confidence: 'paper' = desk research only; 'hands-on' = verified via dast-scan.</t>
        </is>
      </c>
      <c r="B13" s="27" t="n"/>
      <c r="C13" s="27" t="n"/>
      <c r="D13" s="27" t="n"/>
      <c r="E13" s="27" t="n"/>
    </row>
    <row r="14">
      <c r="A14" s="26" t="inlineStr">
        <is>
          <t>Weighted Avg Score is normalized to a 0-5 scale and is comparable across vendors even when the number of pending criteria differs. Row order below is fixed when this workbook is generated and does not auto-resort if scores change later.</t>
        </is>
      </c>
      <c r="B14" s="27" t="n"/>
      <c r="C14" s="27" t="n"/>
      <c r="D14" s="27" t="n"/>
      <c r="E14" s="27" t="n"/>
    </row>
    <row r="15">
      <c r="A15" s="26" t="inlineStr">
        <is>
          <t>Weight (on each vendor sheet) is each criterion's relative importance in the overall weighted score — the same value used in the actual score calculation, set by the evaluator when the criteria taxonomy was defined, not something a reviewer sets.</t>
        </is>
      </c>
      <c r="B15" s="27" t="n"/>
      <c r="C15" s="27" t="n"/>
      <c r="D15" s="27" t="n"/>
      <c r="E15" s="2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2026-07-18T20:02:26Z</dcterms:created>
  <dcterms:modified xsi:type="dcterms:W3CDTF">2026-07-18T20:02:26Z</dcterms:modified>
</cp:coreProperties>
</file>