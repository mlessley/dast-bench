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eviewers" sheetId="2" state="visible" r:id="rId2"/>
    <sheet name="invicti" sheetId="3" state="visible" r:id="rId3"/>
    <sheet name="veracode" sheetId="4" state="visible" r:id="rId4"/>
    <sheet name="checkmarx-dast" sheetId="5" state="visible" r:id="rId5"/>
    <sheet name="hcl-appscan" sheetId="6" state="visible" r:id="rId6"/>
    <sheet name="stackhawk" sheetId="7" state="visible" r:id="rId7"/>
    <sheet name="zap" sheetId="8" state="visible" r:id="rId8"/>
    <sheet name="nuclei" sheetId="9" state="visible" r:id="rId9"/>
    <sheet name="rapid7-insightappsec" sheetId="10" state="visible" r:id="rId10"/>
    <sheet name="qualys-was" sheetId="11" state="visible" r:id="rId11"/>
    <sheet name="How This Works"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6"/>
    </font>
    <font>
      <b val="1"/>
    </font>
    <font>
      <b val="1"/>
      <color rgb="00FFFFFF"/>
    </font>
  </fonts>
  <fills count="5">
    <fill>
      <patternFill/>
    </fill>
    <fill>
      <patternFill patternType="gray125"/>
    </fill>
    <fill>
      <patternFill patternType="solid">
        <fgColor rgb="001F4E78"/>
        <bgColor rgb="001F4E78"/>
      </patternFill>
    </fill>
    <fill>
      <patternFill patternType="solid">
        <fgColor rgb="00FFF2CC"/>
        <bgColor rgb="00FFF2CC"/>
      </patternFill>
    </fill>
    <fill>
      <patternFill patternType="solid">
        <fgColor rgb="00F2F2F2"/>
        <bgColor rgb="00F2F2F2"/>
      </patternFill>
    </fill>
  </fills>
  <borders count="3">
    <border>
      <left/>
      <right/>
      <top/>
      <bottom/>
      <diagonal/>
    </border>
    <border>
      <left style="thin"/>
      <right style="thin"/>
      <top style="thin"/>
      <bottom style="thin"/>
    </border>
    <border>
      <top style="mediu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3" borderId="0" pivotButton="0" quotePrefix="0" xfId="0"/>
    <xf numFmtId="164" fontId="2" fillId="3" borderId="0" applyAlignment="1" pivotButton="0" quotePrefix="0" xfId="0">
      <alignment horizontal="right"/>
    </xf>
    <xf numFmtId="164" fontId="0" fillId="0" borderId="0" applyAlignment="1" pivotButton="0" quotePrefix="0" xfId="0">
      <alignment horizontal="right"/>
    </xf>
    <xf numFmtId="0" fontId="0" fillId="0" borderId="0" applyAlignment="1" pivotButton="0" quotePrefix="0" xfId="0">
      <alignment horizontal="center"/>
    </xf>
    <xf numFmtId="0" fontId="0" fillId="0" borderId="0" applyProtection="1" pivotButton="0" quotePrefix="0" xfId="0">
      <protection locked="0" hidden="0"/>
    </xf>
    <xf numFmtId="0" fontId="0" fillId="4" borderId="0" applyAlignment="1" pivotButton="0" quotePrefix="0" xfId="0">
      <alignment horizontal="center"/>
    </xf>
    <xf numFmtId="0" fontId="0" fillId="4" borderId="0" applyProtection="1" pivotButton="0" quotePrefix="0" xfId="0">
      <protection locked="0" hidden="0"/>
    </xf>
    <xf numFmtId="0" fontId="0" fillId="0" borderId="0" applyAlignment="1" pivotButton="0" quotePrefix="0" xfId="0">
      <alignment horizontal="left"/>
    </xf>
    <xf numFmtId="0" fontId="0" fillId="0" borderId="0" applyAlignment="1" pivotButton="0" quotePrefix="0" xfId="0">
      <alignment horizontal="left" wrapText="1"/>
    </xf>
    <xf numFmtId="164" fontId="0" fillId="0" borderId="0" applyAlignment="1" applyProtection="1" pivotButton="0" quotePrefix="0" xfId="0">
      <alignment horizontal="right"/>
      <protection locked="0" hidden="0"/>
    </xf>
    <xf numFmtId="0" fontId="0" fillId="0" borderId="0" applyAlignment="1" applyProtection="1" pivotButton="0" quotePrefix="0" xfId="0">
      <alignment horizontal="left"/>
      <protection locked="0" hidden="0"/>
    </xf>
    <xf numFmtId="0" fontId="0" fillId="0" borderId="0" applyAlignment="1" applyProtection="1" pivotButton="0" quotePrefix="0" xfId="0">
      <alignment horizontal="left" wrapText="1"/>
      <protection locked="0" hidden="0"/>
    </xf>
    <xf numFmtId="0" fontId="0" fillId="4" borderId="0" applyAlignment="1" pivotButton="0" quotePrefix="0" xfId="0">
      <alignment horizontal="left"/>
    </xf>
    <xf numFmtId="164" fontId="0" fillId="4" borderId="0" applyAlignment="1" pivotButton="0" quotePrefix="0" xfId="0">
      <alignment horizontal="right"/>
    </xf>
    <xf numFmtId="0" fontId="0" fillId="4" borderId="0" applyAlignment="1" pivotButton="0" quotePrefix="0" xfId="0">
      <alignment horizontal="left" wrapText="1"/>
    </xf>
    <xf numFmtId="164" fontId="0" fillId="4" borderId="0" applyAlignment="1" applyProtection="1" pivotButton="0" quotePrefix="0" xfId="0">
      <alignment horizontal="right"/>
      <protection locked="0" hidden="0"/>
    </xf>
    <xf numFmtId="0" fontId="0" fillId="4" borderId="0" applyAlignment="1" applyProtection="1" pivotButton="0" quotePrefix="0" xfId="0">
      <alignment horizontal="left"/>
      <protection locked="0" hidden="0"/>
    </xf>
    <xf numFmtId="0" fontId="0" fillId="4" borderId="0" applyAlignment="1" applyProtection="1" pivotButton="0" quotePrefix="0" xfId="0">
      <alignment horizontal="left" wrapText="1"/>
      <protection locked="0" hidden="0"/>
    </xf>
    <xf numFmtId="0" fontId="0" fillId="4" borderId="0" pivotButton="0" quotePrefix="0" xfId="0"/>
    <xf numFmtId="0" fontId="3" fillId="2" borderId="0" pivotButton="0" quotePrefix="0" xfId="0"/>
    <xf numFmtId="0" fontId="0" fillId="0" borderId="2" pivotButton="0" quotePrefix="0" xfId="0"/>
    <xf numFmtId="0" fontId="0" fillId="0" borderId="0" applyAlignment="1" pivotButton="0" quotePrefix="0" xfId="0">
      <alignment vertical="top" wrapText="1"/>
    </xf>
    <xf numFmtId="0" fontId="0" fillId="4" borderId="1" applyAlignment="1" pivotButton="0" quotePrefix="0" xfId="0">
      <alignment vertical="top" wrapText="1"/>
    </xf>
    <xf numFmtId="0" fontId="0" fillId="4" borderId="1" pivotButton="0" quotePrefix="0" xfId="0"/>
  </cellXfs>
  <cellStyles count="1">
    <cellStyle name="Normal" xfId="0" builtinId="0" hidden="0"/>
  </cellStyles>
  <dxfs count="1">
    <dxf>
      <fill>
        <patternFill patternType="solid">
          <fgColor rgb="00FCE4D6"/>
          <b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a:p>
            <a:pPr>
              <a:defRPr/>
            </a:pPr>
            <a:r>
              <a:t>Weighted Avg Score by Vendor</a:t>
            </a:r>
          </a:p>
        </rich>
      </tx>
    </title>
    <plotArea>
      <barChart>
        <barDir val="col"/>
        <grouping val="clustered"/>
        <ser>
          <idx val="0"/>
          <order val="0"/>
          <tx>
            <strRef>
              <f>'Overview'!H8</f>
            </strRef>
          </tx>
          <spPr>
            <a:ln>
              <a:prstDash val="solid"/>
            </a:ln>
          </spPr>
          <cat>
            <numRef>
              <f>'Overview'!$A$9:$A$17</f>
            </numRef>
          </cat>
          <val>
            <numRef>
              <f>'Overview'!$H$9:$H$17</f>
            </numRef>
          </val>
        </ser>
        <gapWidth val="150"/>
        <axId val="10"/>
        <axId val="100"/>
      </barChart>
      <catAx>
        <axId val="10"/>
        <scaling>
          <orientation val="minMax"/>
        </scaling>
        <axPos val="l"/>
        <title>
          <tx>
            <rich>
              <a:bodyPr/>
              <a:p>
                <a:pPr>
                  <a:defRPr/>
                </a:pPr>
                <a:r>
                  <a:t>Vendor</a:t>
                </a:r>
              </a:p>
            </rich>
          </tx>
        </title>
        <majorTickMark val="none"/>
        <minorTickMark val="none"/>
        <crossAx val="100"/>
        <lblOffset val="100"/>
      </catAx>
      <valAx>
        <axId val="100"/>
        <scaling>
          <orientation val="minMax"/>
        </scaling>
        <axPos val="l"/>
        <majorGridlines/>
        <title>
          <tx>
            <rich>
              <a:bodyPr/>
              <a:p>
                <a:pPr>
                  <a:defRPr/>
                </a:pPr>
                <a:r>
                  <a:t>Weighted Avg Score (0-5)</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19</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hyperlink" Target="https://invicti.com/features/proof-based-scanning" TargetMode="External" Id="rId1" /><Relationship Type="http://schemas.openxmlformats.org/officeDocument/2006/relationships/hyperlink" Target="https://invicti.com/features/api-security-testing" TargetMode="External" Id="rId2" /><Relationship Type="http://schemas.openxmlformats.org/officeDocument/2006/relationships/hyperlink" Target="https://invicti.com/support/scanning-production-environment" TargetMode="External" Id="rId3" /><Relationship Type="http://schemas.openxmlformats.org/officeDocument/2006/relationships/hyperlink" Target="https://invicti.com/support/scanning-graphql-api" TargetMode="External" Id="rId4" /><Relationship Type="http://schemas.openxmlformats.org/officeDocument/2006/relationships/hyperlink" Target="https://invicti.com/support/integrating-invicti-enterprise-github-actions" TargetMode="External" Id="rId5" /><Relationship Type="http://schemas.openxmlformats.org/officeDocument/2006/relationships/hyperlink" Target="https://invicti.com/pci-asv-scanner" TargetMode="External" Id="rId6" /><Relationship Type="http://schemas.openxmlformats.org/officeDocument/2006/relationships/hyperlink" Target="https://ASP.NET" TargetMode="External" Id="rId7" /><Relationship Type="http://schemas.openxmlformats.org/officeDocument/2006/relationships/hyperlink" Target="https://docs.invicti.com/ie-is/business-logic-recorder-invicti" TargetMode="External" Id="rId8" /><Relationship Type="http://schemas.openxmlformats.org/officeDocument/2006/relationships/hyperlink" Target="https://invicti.com/blog/web-security/how-dast-supports-compliance-pci-dss-iso27001-hipaa-soc2" TargetMode="External" Id="rId9" /><Relationship Type="http://schemas.openxmlformats.org/officeDocument/2006/relationships/hyperlink" Target="https://invicti.com/features/proof-based-scanning" TargetMode="External" Id="rId10" /><Relationship Type="http://schemas.openxmlformats.org/officeDocument/2006/relationships/hyperlink" Target="https://invicti.com/solutions/api-discovery" TargetMode="External" Id="rId11" /><Relationship Type="http://schemas.openxmlformats.org/officeDocument/2006/relationships/hyperlink" Target="https://invicti.com/features/developer-guidance" TargetMode="External" Id="rId12" /><Relationship Type="http://schemas.openxmlformats.org/officeDocument/2006/relationships/hyperlink" Target="https://invicti.com/features/automate-remediation-workflows" TargetMode="External" Id="rId13" /><Relationship Type="http://schemas.openxmlformats.org/officeDocument/2006/relationships/hyperlink" Target="https://invicti.com/features/proof-based-scanning" TargetMode="External" Id="rId14" /><Relationship Type="http://schemas.openxmlformats.org/officeDocument/2006/relationships/hyperlink" Target="https://beaglesecurity.com/blog/article/invicti-pricing" TargetMode="External" Id="rId15" /><Relationship Type="http://schemas.openxmlformats.org/officeDocument/2006/relationships/hyperlink" Target="https://appsecsanta.com/invicti" TargetMode="External" Id="rId16" /><Relationship Type="http://schemas.openxmlformats.org/officeDocument/2006/relationships/hyperlink" Target="https://invicti.com/support/invicti-quick-start-guide" TargetMode="External" Id="rId17" /><Relationship Type="http://schemas.openxmlformats.org/officeDocument/2006/relationships/hyperlink" Target="https://invicti.com/features/advanced-website-crawling-technologies" TargetMode="External" Id="rId18" /><Relationship Type="http://schemas.openxmlformats.org/officeDocument/2006/relationships/hyperlink" Target="https://invicti.com/compliance" TargetMode="External" Id="rId19" /><Relationship Type="http://schemas.openxmlformats.org/officeDocument/2006/relationships/hyperlink" Target="https://invicti.com/web-vulnerability-scanner/vulnerabilities/credit-card-disclosure" TargetMode="External" Id="rId20" /><Relationship Type="http://schemas.openxmlformats.org/officeDocument/2006/relationships/hyperlink" Target="https://invicti.com" TargetMode="External" Id="rId21" /><Relationship Type="http://schemas.openxmlformats.org/officeDocument/2006/relationships/hyperlink" Target="https://invicti.com/features/proof-based-scanning" TargetMode="External" Id="rId22" /><Relationship Type="http://schemas.openxmlformats.org/officeDocument/2006/relationships/hyperlink" Target="https://invicti.com/features/automate-remediation-workflows" TargetMode="External" Id="rId23" /><Relationship Type="http://schemas.openxmlformats.org/officeDocument/2006/relationships/hyperlink" Target="https://invicti.com/features/automate-remediation-workflows" TargetMode="External" Id="rId24" /><Relationship Type="http://schemas.openxmlformats.org/officeDocument/2006/relationships/hyperlink" Target="https://invicti.com/blog/web-security/netsparker-scan-performance-upgrades" TargetMode="External" Id="rId25" /><Relationship Type="http://schemas.openxmlformats.org/officeDocument/2006/relationships/hyperlink" Target="https://invicti.com" TargetMode="External" Id="rId26" /><Relationship Type="http://schemas.openxmlformats.org/officeDocument/2006/relationships/hyperlink" Target="https://netsparker.request" TargetMode="External" Id="rId27" /><Relationship Type="http://schemas.openxmlformats.org/officeDocument/2006/relationships/hyperlink" Target="https://netsparker.exe" TargetMode="External" Id="rId28" /><Relationship Type="http://schemas.openxmlformats.org/officeDocument/2006/relationships/hyperlink" Target="https://invicti.com/solutions/financial-services" TargetMode="External" Id="rId29" /><Relationship Type="http://schemas.openxmlformats.org/officeDocument/2006/relationships/hyperlink" Target="https://invicti.com/solutions/api-discovery" TargetMode="External" Id="rId30" /><Relationship Type="http://schemas.openxmlformats.org/officeDocument/2006/relationships/hyperlink" Target="https://docs.invicti.com/ie-is/invicti-enterprise-addon-splunk" TargetMode="External" Id="rId31" /><Relationship Type="http://schemas.openxmlformats.org/officeDocument/2006/relationships/hyperlink" Target="https://docs.invicti.com/ie-is/incremental-scan-node" TargetMode="External" Id="rId32" /><Relationship Type="http://schemas.openxmlformats.org/officeDocument/2006/relationships/hyperlink" Target="https://invicti.com/product/ai-powered-application-security" TargetMode="External" Id="rId33" /></Relationships>
</file>

<file path=xl/worksheets/_rels/sheet4.xml.rels><Relationships xmlns="http://schemas.openxmlformats.org/package/2006/relationships"><Relationship Type="http://schemas.openxmlformats.org/officeDocument/2006/relationships/hyperlink" Target="https://veracode.com/products/dynamic-analysis-dast" TargetMode="External" Id="rId1" /><Relationship Type="http://schemas.openxmlformats.org/officeDocument/2006/relationships/hyperlink" Target="https://securityscientist.net/blog/12-questions-and-answers-about-veracode-dast" TargetMode="External" Id="rId2" /><Relationship Type="http://schemas.openxmlformats.org/officeDocument/2006/relationships/hyperlink" Target="https://veracode.com/products/dynamic-analysis-dast" TargetMode="External" Id="rId3" /><Relationship Type="http://schemas.openxmlformats.org/officeDocument/2006/relationships/hyperlink" Target="https://appsecsanta.com/veracode-dast" TargetMode="External" Id="rId4" /><Relationship Type="http://schemas.openxmlformats.org/officeDocument/2006/relationships/hyperlink" Target="https://docs.veracode.com/r/Scan_web_applications_and_APIs" TargetMode="External" Id="rId5" /><Relationship Type="http://schemas.openxmlformats.org/officeDocument/2006/relationships/hyperlink" Target="https://veracode.com/products/dynamic-analysis-dast" TargetMode="External" Id="rId6" /><Relationship Type="http://schemas.openxmlformats.org/officeDocument/2006/relationships/hyperlink" Target="https://veracode.com/products/dynamic-analysis-dast" TargetMode="External" Id="rId7" /><Relationship Type="http://schemas.openxmlformats.org/officeDocument/2006/relationships/hyperlink" Target="https://veracode.com/veracode-external-attack-surface-management" TargetMode="External" Id="rId8" /><Relationship Type="http://schemas.openxmlformats.org/officeDocument/2006/relationships/hyperlink" Target="https://veracode.com/products/dynamic-analysis-dast" TargetMode="External" Id="rId9" /><Relationship Type="http://schemas.openxmlformats.org/officeDocument/2006/relationships/hyperlink" Target="https://veracode.com/application-security-compliance" TargetMode="External" Id="rId10" /><Relationship Type="http://schemas.openxmlformats.org/officeDocument/2006/relationships/hyperlink" Target="https://veracode.com/products/dynamic-analysis-dast" TargetMode="External" Id="rId11" /><Relationship Type="http://schemas.openxmlformats.org/officeDocument/2006/relationships/hyperlink" Target="https://docs.veracode.com/r/Veracode_Integrations" TargetMode="External" Id="rId12" /><Relationship Type="http://schemas.openxmlformats.org/officeDocument/2006/relationships/hyperlink" Target="https://veracode.com/products/dynamic-analysis-dast" TargetMode="External" Id="rId13" /><Relationship Type="http://schemas.openxmlformats.org/officeDocument/2006/relationships/hyperlink" Target="https://marketplace.atlassian.com/apps/1218497/veracode-integration-for-jira-cloud" TargetMode="External" Id="rId14" /><Relationship Type="http://schemas.openxmlformats.org/officeDocument/2006/relationships/hyperlink" Target="https://docs.veracode.com/r/c_role_permissions" TargetMode="External" Id="rId15" /><Relationship Type="http://schemas.openxmlformats.org/officeDocument/2006/relationships/hyperlink" Target="https://veracode.com/blog/getting-started-guide-veracode-dast-essentials" TargetMode="External" Id="rId16" /><Relationship Type="http://schemas.openxmlformats.org/officeDocument/2006/relationships/hyperlink" Target="https://vendr.com/marketplace/veracode" TargetMode="External" Id="rId17" /><Relationship Type="http://schemas.openxmlformats.org/officeDocument/2006/relationships/hyperlink" Target="https://docs.veracode.com/r/Veracode_Integrations" TargetMode="External" Id="rId18" /><Relationship Type="http://schemas.openxmlformats.org/officeDocument/2006/relationships/hyperlink" Target="https://veracode.com/about/certifications" TargetMode="External" Id="rId19" /><Relationship Type="http://schemas.openxmlformats.org/officeDocument/2006/relationships/hyperlink" Target="https://veracode.com/blog/introducing-veracode-risk-manager-new-chapter-aspm-built-scale" TargetMode="External" Id="rId20" /><Relationship Type="http://schemas.openxmlformats.org/officeDocument/2006/relationships/hyperlink" Target="https://veracode.com/analytics" TargetMode="External" Id="rId21" /><Relationship Type="http://schemas.openxmlformats.org/officeDocument/2006/relationships/hyperlink" Target="https://docs.veracode.com/r/c_review_cwe" TargetMode="External" Id="rId22" /><Relationship Type="http://schemas.openxmlformats.org/officeDocument/2006/relationships/hyperlink" Target="https://veracode.com/blog/getting-started-guide-veracode-dast-essentials" TargetMode="External" Id="rId23" /><Relationship Type="http://schemas.openxmlformats.org/officeDocument/2006/relationships/hyperlink" Target="https://github.com/veracode/Veracode-Community-Projects" TargetMode="External" Id="rId24" /><Relationship Type="http://schemas.openxmlformats.org/officeDocument/2006/relationships/hyperlink" Target="https://veracode.com/products/dynamic-analysis-dast" TargetMode="External" Id="rId25" /><Relationship Type="http://schemas.openxmlformats.org/officeDocument/2006/relationships/hyperlink" Target="https://marketplace.atlassian.com/apps/1218497/veracode-integration-for-jira-cloud" TargetMode="External" Id="rId26" /><Relationship Type="http://schemas.openxmlformats.org/officeDocument/2006/relationships/hyperlink" Target="https://veracode.com/veracode-external-attack-surface-management" TargetMode="External" Id="rId27" /><Relationship Type="http://schemas.openxmlformats.org/officeDocument/2006/relationships/hyperlink" Target="https://docs.veracode.com/r/c_sc_policies_custom" TargetMode="External" Id="rId28" /><Relationship Type="http://schemas.openxmlformats.org/officeDocument/2006/relationships/hyperlink" Target="https://docs.veracode.com/r/Veracode_Integrations" TargetMode="External" Id="rId29" /><Relationship Type="http://schemas.openxmlformats.org/officeDocument/2006/relationships/hyperlink" Target="https://veracode.com/security/third-party-risk-assessment" TargetMode="External" Id="rId30" /><Relationship Type="http://schemas.openxmlformats.org/officeDocument/2006/relationships/hyperlink" Target="https://docs.veracode.com/r/Veracode_Integrations" TargetMode="External" Id="rId31" /><Relationship Type="http://schemas.openxmlformats.org/officeDocument/2006/relationships/hyperlink" Target="https://docs.veracode.com/r/Veracode_Fix_GitHub_Action" TargetMode="External" Id="rId32" /><Relationship Type="http://schemas.openxmlformats.org/officeDocument/2006/relationships/hyperlink" Target="https://docs.veracode.com/r/Scan_Web_Applications" TargetMode="External" Id="rId33" /></Relationships>
</file>

<file path=xl/worksheets/_rels/sheet5.xml.rels><Relationships xmlns="http://schemas.openxmlformats.org/package/2006/relationships"><Relationship Type="http://schemas.openxmlformats.org/officeDocument/2006/relationships/hyperlink" Target="https://checkmarx.com/checkmarx-dast" TargetMode="External" Id="rId1" /><Relationship Type="http://schemas.openxmlformats.org/officeDocument/2006/relationships/hyperlink" Target="https://docs.checkmarx.com/authentication-support" TargetMode="External" Id="rId2" /><Relationship Type="http://schemas.openxmlformats.org/officeDocument/2006/relationships/hyperlink" Target="https://docs.checkmarx.com/limiting-engine-scans" TargetMode="External" Id="rId3" /><Relationship Type="http://schemas.openxmlformats.org/officeDocument/2006/relationships/hyperlink" Target="https://checkmarx.com/checkmarx-dast" TargetMode="External" Id="rId4" /><Relationship Type="http://schemas.openxmlformats.org/officeDocument/2006/relationships/hyperlink" Target="https://docs.checkmarx.com/ci-cd-integrations" TargetMode="External" Id="rId5" /><Relationship Type="http://schemas.openxmlformats.org/officeDocument/2006/relationships/hyperlink" Target="https://securityscientist.net/blog/12-questions-and-answers-about-checkmarx-one" TargetMode="External" Id="rId6" /><Relationship Type="http://schemas.openxmlformats.org/officeDocument/2006/relationships/hyperlink" Target="https://ASP.NET" TargetMode="External" Id="rId7" /><Relationship Type="http://schemas.openxmlformats.org/officeDocument/2006/relationships/hyperlink" Target="https://checkmarx.com/learn/integrating-dast-and-sast-into-devsecops-for-continuous-api-security" TargetMode="External" Id="rId8" /><Relationship Type="http://schemas.openxmlformats.org/officeDocument/2006/relationships/hyperlink" Target="https://checkmarx.com/learn/integrating-dast-and-sast-into-devsecops-for-continuous-api-security" TargetMode="External" Id="rId9" /><Relationship Type="http://schemas.openxmlformats.org/officeDocument/2006/relationships/hyperlink" Target="https://checkmarx.com/blog/checkmarx-dast-for-the-ai-coding-era" TargetMode="External" Id="rId10" /><Relationship Type="http://schemas.openxmlformats.org/officeDocument/2006/relationships/hyperlink" Target="https://checkmarx.com/product/api-security" TargetMode="External" Id="rId11" /><Relationship Type="http://schemas.openxmlformats.org/officeDocument/2006/relationships/hyperlink" Target="https://docs.checkmarx.com" TargetMode="External" Id="rId12" /><Relationship Type="http://schemas.openxmlformats.org/officeDocument/2006/relationships/hyperlink" Target="https://docs.checkmarx.com/managing-triaging-vulnerabilities" TargetMode="External" Id="rId13" /><Relationship Type="http://schemas.openxmlformats.org/officeDocument/2006/relationships/hyperlink" Target="https://checkmarx.com/blog/checkmarx-dast-for-the-ai-coding-era" TargetMode="External" Id="rId14" /><Relationship Type="http://schemas.openxmlformats.org/officeDocument/2006/relationships/hyperlink" Target="https://checkmarx.com/legal/checkmarx-one-license-types-and-restrictions" TargetMode="External" Id="rId15" /><Relationship Type="http://schemas.openxmlformats.org/officeDocument/2006/relationships/hyperlink" Target="https://docs.checkmarx.com/access-control-overview" TargetMode="External" Id="rId16" /><Relationship Type="http://schemas.openxmlformats.org/officeDocument/2006/relationships/hyperlink" Target="https://checkmarx.com/checkmarx-dast" TargetMode="External" Id="rId17" /><Relationship Type="http://schemas.openxmlformats.org/officeDocument/2006/relationships/hyperlink" Target="https://checkmarx.com/learn/dast" TargetMode="External" Id="rId18" /><Relationship Type="http://schemas.openxmlformats.org/officeDocument/2006/relationships/hyperlink" Target="https://checkmarx.com/trust" TargetMode="External" Id="rId19" /><Relationship Type="http://schemas.openxmlformats.org/officeDocument/2006/relationships/hyperlink" Target="https://docs.checkmarx.com/secret-detection" TargetMode="External" Id="rId20" /><Relationship Type="http://schemas.openxmlformats.org/officeDocument/2006/relationships/hyperlink" Target="https://defectdojo.com/integrations/checkmarx-one" TargetMode="External" Id="rId21" /><Relationship Type="http://schemas.openxmlformats.org/officeDocument/2006/relationships/hyperlink" Target="https://docs.checkmarx.com/checkmarx-dast" TargetMode="External" Id="rId22" /><Relationship Type="http://schemas.openxmlformats.org/officeDocument/2006/relationships/hyperlink" Target="https://docs.checkmarx.com/executive-overview-dashboard" TargetMode="External" Id="rId23" /><Relationship Type="http://schemas.openxmlformats.org/officeDocument/2006/relationships/hyperlink" Target="https://docs.checkmarx.com/global-csv-result-reports" TargetMode="External" Id="rId24" /><Relationship Type="http://schemas.openxmlformats.org/officeDocument/2006/relationships/hyperlink" Target="https://checkmarx.com/checkmarx-dast" TargetMode="External" Id="rId25" /><Relationship Type="http://schemas.openxmlformats.org/officeDocument/2006/relationships/hyperlink" Target="https://docs.checkmarx.com/jira" TargetMode="External" Id="rId26" /><Relationship Type="http://schemas.openxmlformats.org/officeDocument/2006/relationships/hyperlink" Target="https://docs.checkmarx.com" TargetMode="External" Id="rId27" /><Relationship Type="http://schemas.openxmlformats.org/officeDocument/2006/relationships/hyperlink" Target="https://checkmarx.com/product/api-security" TargetMode="External" Id="rId28" /><Relationship Type="http://schemas.openxmlformats.org/officeDocument/2006/relationships/hyperlink" Target="https://checkmarx.com/product/api-security" TargetMode="External" Id="rId29" /><Relationship Type="http://schemas.openxmlformats.org/officeDocument/2006/relationships/hyperlink" Target="https://docs.checkmarx.com/scripting" TargetMode="External" Id="rId30" /><Relationship Type="http://schemas.openxmlformats.org/officeDocument/2006/relationships/hyperlink" Target="https://docs.checkmarx.com/checkmarx-one-vs-code-extension" TargetMode="External" Id="rId31" /><Relationship Type="http://schemas.openxmlformats.org/officeDocument/2006/relationships/hyperlink" Target="https://checkmarx.com/product/triage-and-remediation" TargetMode="External" Id="rId32" /><Relationship Type="http://schemas.openxmlformats.org/officeDocument/2006/relationships/hyperlink" Target="https://support.checkmarx.com" TargetMode="External" Id="rId33" /></Relationships>
</file>

<file path=xl/worksheets/_rels/sheet6.xml.rels><Relationships xmlns="http://schemas.openxmlformats.org/package/2006/relationships"><Relationship Type="http://schemas.openxmlformats.org/officeDocument/2006/relationships/hyperlink" Target="https://aimultiple.com/dast-tools" TargetMode="External" Id="rId1" /><Relationship Type="http://schemas.openxmlformats.org/officeDocument/2006/relationships/hyperlink" Target="https://help.hcl-software.com" TargetMode="External" Id="rId2" /><Relationship Type="http://schemas.openxmlformats.org/officeDocument/2006/relationships/hyperlink" Target="https://help.hcl-software.com" TargetMode="External" Id="rId3" /><Relationship Type="http://schemas.openxmlformats.org/officeDocument/2006/relationships/hyperlink" Target="https://help.hcl-software.com/appscan" TargetMode="External" Id="rId4" /><Relationship Type="http://schemas.openxmlformats.org/officeDocument/2006/relationships/hyperlink" Target="https://plugins.jenkins.io/appscan" TargetMode="External" Id="rId5" /><Relationship Type="http://schemas.openxmlformats.org/officeDocument/2006/relationships/hyperlink" Target="https://hcl-software.com/appscan" TargetMode="External" Id="rId6" /><Relationship Type="http://schemas.openxmlformats.org/officeDocument/2006/relationships/hyperlink" Target="https://appsecsanta.com/hcl-appscan-dast" TargetMode="External" Id="rId7" /><Relationship Type="http://schemas.openxmlformats.org/officeDocument/2006/relationships/hyperlink" Target="https://help.hcl-software.com/appscan/Standard/10.6.0/t_TestPrivilegeEscalation080.html" TargetMode="External" Id="rId8" /><Relationship Type="http://schemas.openxmlformats.org/officeDocument/2006/relationships/hyperlink" Target="https://help.hcl-software.com" TargetMode="External" Id="rId9" /><Relationship Type="http://schemas.openxmlformats.org/officeDocument/2006/relationships/hyperlink" Target="https://aimultiple.com/dast-tools" TargetMode="External" Id="rId10" /><Relationship Type="http://schemas.openxmlformats.org/officeDocument/2006/relationships/hyperlink" Target="https://hcl-software.com/appscan/products/api-security" TargetMode="External" Id="rId11" /><Relationship Type="http://schemas.openxmlformats.org/officeDocument/2006/relationships/hyperlink" Target="https://hcl-software.com/appscan/products/rapidfix" TargetMode="External" Id="rId12" /><Relationship Type="http://schemas.openxmlformats.org/officeDocument/2006/relationships/hyperlink" Target="https://help.hcl-software.com" TargetMode="External" Id="rId13" /><Relationship Type="http://schemas.openxmlformats.org/officeDocument/2006/relationships/hyperlink" Target="https://help.hcl-software.com" TargetMode="External" Id="rId14" /><Relationship Type="http://schemas.openxmlformats.org/officeDocument/2006/relationships/hyperlink" Target="https://hcl-software.com" TargetMode="External" Id="rId15" /><Relationship Type="http://schemas.openxmlformats.org/officeDocument/2006/relationships/hyperlink" Target="https://beaglesecurity.com" TargetMode="External" Id="rId16" /><Relationship Type="http://schemas.openxmlformats.org/officeDocument/2006/relationships/hyperlink" Target="https://hcl-software.com/blog/appscan" TargetMode="External" Id="rId17" /><Relationship Type="http://schemas.openxmlformats.org/officeDocument/2006/relationships/hyperlink" Target="https://help.hcl-software.com" TargetMode="External" Id="rId18" /><Relationship Type="http://schemas.openxmlformats.org/officeDocument/2006/relationships/hyperlink" Target="https://hcl-software.com/legal/compliance/soc2" TargetMode="External" Id="rId19" /><Relationship Type="http://schemas.openxmlformats.org/officeDocument/2006/relationships/hyperlink" Target="https://armorcode.com/integrations" TargetMode="External" Id="rId20" /><Relationship Type="http://schemas.openxmlformats.org/officeDocument/2006/relationships/hyperlink" Target="https://hcl-software.com/appscan/products/api-security" TargetMode="External" Id="rId21" /><Relationship Type="http://schemas.openxmlformats.org/officeDocument/2006/relationships/hyperlink" Target="https://hcl-software.com/appscan" TargetMode="External" Id="rId22" /><Relationship Type="http://schemas.openxmlformats.org/officeDocument/2006/relationships/hyperlink" Target="https://help.hcltechsw.com" TargetMode="External" Id="rId23" /><Relationship Type="http://schemas.openxmlformats.org/officeDocument/2006/relationships/hyperlink" Target="https://help.hcl-software.com" TargetMode="External" Id="rId24" /><Relationship Type="http://schemas.openxmlformats.org/officeDocument/2006/relationships/hyperlink" Target="https://help.hcl-software.com" TargetMode="External" Id="rId25" /><Relationship Type="http://schemas.openxmlformats.org/officeDocument/2006/relationships/hyperlink" Target="https://help.hcl-software.com" TargetMode="External" Id="rId26" /><Relationship Type="http://schemas.openxmlformats.org/officeDocument/2006/relationships/hyperlink" Target="https://splunkbase.splunk.com/app/7991" TargetMode="External" Id="rId27" /><Relationship Type="http://schemas.openxmlformats.org/officeDocument/2006/relationships/hyperlink" Target="https://hcl-software.com/appscan/products/api-security" TargetMode="External" Id="rId28" /><Relationship Type="http://schemas.openxmlformats.org/officeDocument/2006/relationships/hyperlink" Target="https://hcl-software.com/appscan/products/api-security" TargetMode="External" Id="rId29" /><Relationship Type="http://schemas.openxmlformats.org/officeDocument/2006/relationships/hyperlink" Target="https://help.hcl-software.com" TargetMode="External" Id="rId30" /><Relationship Type="http://schemas.openxmlformats.org/officeDocument/2006/relationships/hyperlink" Target="https://marketplace.visualstudio.com" TargetMode="External" Id="rId31" /><Relationship Type="http://schemas.openxmlformats.org/officeDocument/2006/relationships/hyperlink" Target="https://help.hcl-software.com/appscan/360/2.1.0/appseccloud_rapidfix.html" TargetMode="External" Id="rId32" /><Relationship Type="http://schemas.openxmlformats.org/officeDocument/2006/relationships/hyperlink" Target="https://help.hcl-software.com/appscan/ASoC/appseccloud_scanning_rescan_cm.html" TargetMode="External" Id="rId33" /></Relationships>
</file>

<file path=xl/worksheets/_rels/sheet7.xml.rels><Relationships xmlns="http://schemas.openxmlformats.org/package/2006/relationships"><Relationship Type="http://schemas.openxmlformats.org/officeDocument/2006/relationships/hyperlink" Target="https://docs.stackhawk.com/changelog.html" TargetMode="External" Id="rId1" /><Relationship Type="http://schemas.openxmlformats.org/officeDocument/2006/relationships/hyperlink" Target="https://docs.stackhawk.com/hawkscan/configuration" TargetMode="External" Id="rId2" /><Relationship Type="http://schemas.openxmlformats.org/officeDocument/2006/relationships/hyperlink" Target="https://docs.stackhawk.com/getting-started/auth-scan.html" TargetMode="External" Id="rId3" /><Relationship Type="http://schemas.openxmlformats.org/officeDocument/2006/relationships/hyperlink" Target="https://appsecsanta.com" TargetMode="External" Id="rId4" /><Relationship Type="http://schemas.openxmlformats.org/officeDocument/2006/relationships/hyperlink" Target="https://stackhawk.com/blog/graphql-security" TargetMode="External" Id="rId5" /><Relationship Type="http://schemas.openxmlformats.org/officeDocument/2006/relationships/hyperlink" Target="https://docs.stackhawk.com/getting-started" TargetMode="External" Id="rId6" /><Relationship Type="http://schemas.openxmlformats.org/officeDocument/2006/relationships/hyperlink" Target="https://stackhawk.com/solutions/dast" TargetMode="External" Id="rId7" /><Relationship Type="http://schemas.openxmlformats.org/officeDocument/2006/relationships/hyperlink" Target="https://docs.stackhawk.com/web-app/api-discovery.html" TargetMode="External" Id="rId8" /><Relationship Type="http://schemas.openxmlformats.org/officeDocument/2006/relationships/hyperlink" Target="https://stackhawk.com/blog/business-logic-testing" TargetMode="External" Id="rId9" /><Relationship Type="http://schemas.openxmlformats.org/officeDocument/2006/relationships/hyperlink" Target="https://stackhawk.com/blog/pci-dss-appsec-compliance" TargetMode="External" Id="rId10" /><Relationship Type="http://schemas.openxmlformats.org/officeDocument/2006/relationships/hyperlink" Target="https://docs.stackhawk.com/changelog.html" TargetMode="External" Id="rId11" /><Relationship Type="http://schemas.openxmlformats.org/officeDocument/2006/relationships/hyperlink" Target="https://stackhawk.com/blog/how-does-stackhawk-work" TargetMode="External" Id="rId12" /><Relationship Type="http://schemas.openxmlformats.org/officeDocument/2006/relationships/hyperlink" Target="https://docs.stackhawk.com/integrations/workflows/jira" TargetMode="External" Id="rId13" /><Relationship Type="http://schemas.openxmlformats.org/officeDocument/2006/relationships/hyperlink" Target="https://stackhawk.com/security" TargetMode="External" Id="rId14" /><Relationship Type="http://schemas.openxmlformats.org/officeDocument/2006/relationships/hyperlink" Target="https://docs.stackhawk.com/changelog.html" TargetMode="External" Id="rId15" /><Relationship Type="http://schemas.openxmlformats.org/officeDocument/2006/relationships/hyperlink" Target="https://stackhawk.com/pricing" TargetMode="External" Id="rId16" /><Relationship Type="http://schemas.openxmlformats.org/officeDocument/2006/relationships/hyperlink" Target="https://stackhawk.com/pricing" TargetMode="External" Id="rId17" /><Relationship Type="http://schemas.openxmlformats.org/officeDocument/2006/relationships/hyperlink" Target="https://docs.stackhawk.com/getting-started/quickstart" TargetMode="External" Id="rId18" /><Relationship Type="http://schemas.openxmlformats.org/officeDocument/2006/relationships/hyperlink" Target="https://appsecsanta.com/stackhawk-vs-zap" TargetMode="External" Id="rId19" /><Relationship Type="http://schemas.openxmlformats.org/officeDocument/2006/relationships/hyperlink" Target="https://docs.stackhawk.com/workflow-integrations/defect-dojo.html" TargetMode="External" Id="rId20" /><Relationship Type="http://schemas.openxmlformats.org/officeDocument/2006/relationships/hyperlink" Target="https://docs.stackhawk.com/hawkscan-scripting/script-types/passive_scripting.html" TargetMode="External" Id="rId21" /><Relationship Type="http://schemas.openxmlformats.org/officeDocument/2006/relationships/hyperlink" Target="https://docs.stackhawk.com/hawkscan/viewing-scan-results" TargetMode="External" Id="rId22" /><Relationship Type="http://schemas.openxmlformats.org/officeDocument/2006/relationships/hyperlink" Target="https://stackhawk.com/product/oversight" TargetMode="External" Id="rId23" /><Relationship Type="http://schemas.openxmlformats.org/officeDocument/2006/relationships/hyperlink" Target="https://docs.stackhawk.com/integrations/workflows/jira" TargetMode="External" Id="rId24" /><Relationship Type="http://schemas.openxmlformats.org/officeDocument/2006/relationships/hyperlink" Target="https://stackhawk.com/blog/running-stackhawk-in-cicd" TargetMode="External" Id="rId25" /><Relationship Type="http://schemas.openxmlformats.org/officeDocument/2006/relationships/hyperlink" Target="https://docs.stackhawk.com/integrations/workflows/jira" TargetMode="External" Id="rId26" /><Relationship Type="http://schemas.openxmlformats.org/officeDocument/2006/relationships/hyperlink" Target="https://docs.stackhawk.com/web-app/api-discovery.html" TargetMode="External" Id="rId27" /><Relationship Type="http://schemas.openxmlformats.org/officeDocument/2006/relationships/hyperlink" Target="https://stackhawk.yml" TargetMode="External" Id="rId28" /><Relationship Type="http://schemas.openxmlformats.org/officeDocument/2006/relationships/hyperlink" Target="https://stackhawk.com/blog/github-copilot-secure-code" TargetMode="External" Id="rId29" /><Relationship Type="http://schemas.openxmlformats.org/officeDocument/2006/relationships/hyperlink" Target="https://docs.stackhawk.com/integrations" TargetMode="External" Id="rId30" /><Relationship Type="http://schemas.openxmlformats.org/officeDocument/2006/relationships/hyperlink" Target="https://stackhawk.com/solutions/stackhawk-for-financial-sector" TargetMode="External" Id="rId31" /><Relationship Type="http://schemas.openxmlformats.org/officeDocument/2006/relationships/hyperlink" Target="https://docs.stackhawk.com/integrations/workflows/github/github-pr-checks" TargetMode="External" Id="rId32" /><Relationship Type="http://schemas.openxmlformats.org/officeDocument/2006/relationships/hyperlink" Target="https://stackhawk.yml" TargetMode="External" Id="rId33" /></Relationships>
</file>

<file path=xl/worksheets/_rels/sheet8.xml.rels><Relationships xmlns="http://schemas.openxmlformats.org/package/2006/relationships"><Relationship Type="http://schemas.openxmlformats.org/officeDocument/2006/relationships/hyperlink" Target="https://deepwiki.com/zaproxy/zap-extensions/2.3-authentication-and-session-management" TargetMode="External" Id="rId1" /><Relationship Type="http://schemas.openxmlformats.org/officeDocument/2006/relationships/hyperlink" Target="https://zaproxy.org/faq/is-there-any-danger-when-scanning-with-zap" TargetMode="External" Id="rId2" /><Relationship Type="http://schemas.openxmlformats.org/officeDocument/2006/relationships/hyperlink" Target="https://zaproxy.org/docs/desktop/addons/graphql-support" TargetMode="External" Id="rId3" /><Relationship Type="http://schemas.openxmlformats.org/officeDocument/2006/relationships/hyperlink" Target="https://zap-full-scan.py" TargetMode="External" Id="rId4" /><Relationship Type="http://schemas.openxmlformats.org/officeDocument/2006/relationships/hyperlink" Target="https://zaproxy.org/docs/docker" TargetMode="External" Id="rId5" /><Relationship Type="http://schemas.openxmlformats.org/officeDocument/2006/relationships/hyperlink" Target="https://en.wikipedia.org/wiki/ZAP_(software" TargetMode="External" Id="rId6" /><Relationship Type="http://schemas.openxmlformats.org/officeDocument/2006/relationships/hyperlink" Target="https://zaproxy.org/docs/desktop/addons/access-control-testing" TargetMode="External" Id="rId7" /><Relationship Type="http://schemas.openxmlformats.org/officeDocument/2006/relationships/hyperlink" Target="https://zaproxy.org/docs" TargetMode="External" Id="rId8" /><Relationship Type="http://schemas.openxmlformats.org/officeDocument/2006/relationships/hyperlink" Target="https://zaproxy.org/docs/alerts" TargetMode="External" Id="rId9" /><Relationship Type="http://schemas.openxmlformats.org/officeDocument/2006/relationships/hyperlink" Target="https://zaproxy.org/docs/desktop/addons/ajax-spider" TargetMode="External" Id="rId10" /><Relationship Type="http://schemas.openxmlformats.org/officeDocument/2006/relationships/hyperlink" Target="https://zaproxy.org/docs/desktop/start/features/alerts" TargetMode="External" Id="rId11" /><Relationship Type="http://schemas.openxmlformats.org/officeDocument/2006/relationships/hyperlink" Target="https://zaproxy.org/docs" TargetMode="External" Id="rId12" /><Relationship Type="http://schemas.openxmlformats.org/officeDocument/2006/relationships/hyperlink" Target="https://zaproxy.org/docs/desktop/addons/alert-filters" TargetMode="External" Id="rId13" /><Relationship Type="http://schemas.openxmlformats.org/officeDocument/2006/relationships/hyperlink" Target="https://github.com/zaproxy/zaproxy/blob/main/LEGALNOTICE.md" TargetMode="External" Id="rId14" /><Relationship Type="http://schemas.openxmlformats.org/officeDocument/2006/relationships/hyperlink" Target="https://ghcr.io/zaproxy/zaproxy" TargetMode="External" Id="rId15" /><Relationship Type="http://schemas.openxmlformats.org/officeDocument/2006/relationships/hyperlink" Target="https://en.wikipedia.org/wiki/ZAP_(software" TargetMode="External" Id="rId16" /><Relationship Type="http://schemas.openxmlformats.org/officeDocument/2006/relationships/hyperlink" Target="https://checkmarx.com/trust" TargetMode="External" Id="rId17" /><Relationship Type="http://schemas.openxmlformats.org/officeDocument/2006/relationships/hyperlink" Target="https://zaproxy.org/docs" TargetMode="External" Id="rId18" /><Relationship Type="http://schemas.openxmlformats.org/officeDocument/2006/relationships/hyperlink" Target="https://github.com/NCCloud/zap-operator" TargetMode="External" Id="rId19" /><Relationship Type="http://schemas.openxmlformats.org/officeDocument/2006/relationships/hyperlink" Target="https://github.com/zaproxy/action-full-scan" TargetMode="External" Id="rId20" /><Relationship Type="http://schemas.openxmlformats.org/officeDocument/2006/relationships/hyperlink" Target="https://ironflower.nl/blog/defectdojo/defectdojo.html" TargetMode="External" Id="rId21" /><Relationship Type="http://schemas.openxmlformats.org/officeDocument/2006/relationships/hyperlink" Target="https://zaproxy.org/docs/desktop/start/features/alerts" TargetMode="External" Id="rId22" /><Relationship Type="http://schemas.openxmlformats.org/officeDocument/2006/relationships/hyperlink" Target="https://zaproxy.org/docs/desktop/addons/report-generation" TargetMode="External" Id="rId23" /><Relationship Type="http://schemas.openxmlformats.org/officeDocument/2006/relationships/hyperlink" Target="https://zaproxy.org/docs/alerts/10062" TargetMode="External" Id="rId24" /><Relationship Type="http://schemas.openxmlformats.org/officeDocument/2006/relationships/hyperlink" Target="https://github.com/zaproxy/zaproxy/wiki/RelatedProjects" TargetMode="External" Id="rId25" /><Relationship Type="http://schemas.openxmlformats.org/officeDocument/2006/relationships/hyperlink" Target="https://zap-baseline.py" TargetMode="External" Id="rId26" /><Relationship Type="http://schemas.openxmlformats.org/officeDocument/2006/relationships/hyperlink" Target="https://zaproxy.org/docs" TargetMode="External" Id="rId27" /><Relationship Type="http://schemas.openxmlformats.org/officeDocument/2006/relationships/hyperlink" Target="https://zaproxy.org/docs/desktop/addons/openapi-support" TargetMode="External" Id="rId28" /><Relationship Type="http://schemas.openxmlformats.org/officeDocument/2006/relationships/hyperlink" Target="https://zaproxy.org/docs/desktop/addons/active-scan-rules" TargetMode="External" Id="rId29" /><Relationship Type="http://schemas.openxmlformats.org/officeDocument/2006/relationships/hyperlink" Target="https://github.com/zaproxy/action-full-scan" TargetMode="External" Id="rId30" /><Relationship Type="http://schemas.openxmlformats.org/officeDocument/2006/relationships/hyperlink" Target="https://zaproxy.org/docs/desktop/start/features/contexts" TargetMode="External" Id="rId31" /></Relationships>
</file>

<file path=xl/worksheets/_rels/sheet9.xml.rels><Relationships xmlns="http://schemas.openxmlformats.org/package/2006/relationships"><Relationship Type="http://schemas.openxmlformats.org/officeDocument/2006/relationships/hyperlink" Target="https://projectdiscovery.io/blog/nuclei-3-2" TargetMode="External" Id="rId1" /><Relationship Type="http://schemas.openxmlformats.org/officeDocument/2006/relationships/hyperlink" Target="https://docs.projectdiscovery.io/opensource/nuclei/mass-scanning-cli" TargetMode="External" Id="rId2" /><Relationship Type="http://schemas.openxmlformats.org/officeDocument/2006/relationships/hyperlink" Target="https://docs.projectdiscovery.io/templates/protocols/network" TargetMode="External" Id="rId3" /><Relationship Type="http://schemas.openxmlformats.org/officeDocument/2006/relationships/hyperlink" Target="https://github.com/projectdiscovery/nuclei-templates" TargetMode="External" Id="rId4" /><Relationship Type="http://schemas.openxmlformats.org/officeDocument/2006/relationships/hyperlink" Target="https://github.com/orgs/projectdiscovery/discussions/3218" TargetMode="External" Id="rId5" /><Relationship Type="http://schemas.openxmlformats.org/officeDocument/2006/relationships/hyperlink" Target="https://projectdiscovery.io" TargetMode="External" Id="rId6" /><Relationship Type="http://schemas.openxmlformats.org/officeDocument/2006/relationships/hyperlink" Target="https://docs.projectdiscovery.io/templates/workflows/overview" TargetMode="External" Id="rId7" /><Relationship Type="http://schemas.openxmlformats.org/officeDocument/2006/relationships/hyperlink" Target="https://feedback.projectdiscovery.io/changelog" TargetMode="External" Id="rId8" /><Relationship Type="http://schemas.openxmlformats.org/officeDocument/2006/relationships/hyperlink" Target="https://github.com/projectdiscovery/nuclei-templates/blob/main/TEMPLATE-CREATION-GUIDE.md" TargetMode="External" Id="rId9" /><Relationship Type="http://schemas.openxmlformats.org/officeDocument/2006/relationships/hyperlink" Target="https://robots.txt" TargetMode="External" Id="rId10" /><Relationship Type="http://schemas.openxmlformats.org/officeDocument/2006/relationships/hyperlink" Target="https://docs.projectdiscovery.io/templates/structure" TargetMode="External" Id="rId11" /><Relationship Type="http://schemas.openxmlformats.org/officeDocument/2006/relationships/hyperlink" Target="https://projectdiscovery.io/triage" TargetMode="External" Id="rId12" /><Relationship Type="http://schemas.openxmlformats.org/officeDocument/2006/relationships/hyperlink" Target="https://github.com/projectdiscovery/katana" TargetMode="External" Id="rId13" /><Relationship Type="http://schemas.openxmlformats.org/officeDocument/2006/relationships/hyperlink" Target="https://github.com/projectdiscovery/nuclei" TargetMode="External" Id="rId14" /><Relationship Type="http://schemas.openxmlformats.org/officeDocument/2006/relationships/hyperlink" Target="https://projectdiscovery.io/blog/projectdiscovery-achieves-soc-2-type-2-certification" TargetMode="External" Id="rId15" /><Relationship Type="http://schemas.openxmlformats.org/officeDocument/2006/relationships/hyperlink" Target="https://docs.projectdiscovery.io/opensource/nuclei/install" TargetMode="External" Id="rId16" /><Relationship Type="http://schemas.openxmlformats.org/officeDocument/2006/relationships/hyperlink" Target="https://projectdiscovery.io/blog/projectdiscovery-achieves-soc-2-type-2-certification" TargetMode="External" Id="rId17" /><Relationship Type="http://schemas.openxmlformats.org/officeDocument/2006/relationships/hyperlink" Target="https://docs.defectdojo.com/supported_tools/parsers/file/nuclei" TargetMode="External" Id="rId18" /><Relationship Type="http://schemas.openxmlformats.org/officeDocument/2006/relationships/hyperlink" Target="https://credit-card-number-detection.yaml" TargetMode="External" Id="rId19" /><Relationship Type="http://schemas.openxmlformats.org/officeDocument/2006/relationships/hyperlink" Target="https://docs.projectdiscovery.io/templates/structure" TargetMode="External" Id="rId20" /><Relationship Type="http://schemas.openxmlformats.org/officeDocument/2006/relationships/hyperlink" Target="https://projectdiscovery.io/blog/projectdiscovery-achieves-soc-2-type-2-certification" TargetMode="External" Id="rId21" /><Relationship Type="http://schemas.openxmlformats.org/officeDocument/2006/relationships/hyperlink" Target="https://docs.github.com/en/code-security/code-scanning/integrating-with-code-scanning/sarif-support-for-code-scanning" TargetMode="External" Id="rId22" /><Relationship Type="http://schemas.openxmlformats.org/officeDocument/2006/relationships/hyperlink" Target="https://docs.projectdiscovery.io/opensource/nuclei/mass-scanning-cli" TargetMode="External" Id="rId23" /><Relationship Type="http://schemas.openxmlformats.org/officeDocument/2006/relationships/hyperlink" Target="https://reporting-db.json" TargetMode="External" Id="rId24" /><Relationship Type="http://schemas.openxmlformats.org/officeDocument/2006/relationships/hyperlink" Target="https://github.com/projectdiscovery/nuclei" TargetMode="External" Id="rId25" /><Relationship Type="http://schemas.openxmlformats.org/officeDocument/2006/relationships/hyperlink" Target="https://projectdiscovery.featurebase.app/p/api-security" TargetMode="External" Id="rId26" /><Relationship Type="http://schemas.openxmlformats.org/officeDocument/2006/relationships/hyperlink" Target="https://projectdiscovery.io" TargetMode="External" Id="rId27" /><Relationship Type="http://schemas.openxmlformats.org/officeDocument/2006/relationships/hyperlink" Target="https://docs.projectdiscovery.io/templates/structure" TargetMode="External" Id="rId28" /><Relationship Type="http://schemas.openxmlformats.org/officeDocument/2006/relationships/hyperlink" Target="https://deepwiki.com/projectdiscovery/nuclei/6-output-and-reporting" TargetMode="External" Id="rId29" /><Relationship Type="http://schemas.openxmlformats.org/officeDocument/2006/relationships/hyperlink" Target="https://projectdiscovery.io/solutions/pr-security-review" TargetMode="External" Id="rId30" /><Relationship Type="http://schemas.openxmlformats.org/officeDocument/2006/relationships/hyperlink" Target="https://projectdiscovery.io/blog/the-new-way-to-discover-your-exposure" TargetMode="External" Id="rId31" /></Relationships>
</file>

<file path=xl/worksheets/_rels/sheet10.xml.rels><Relationships xmlns="http://schemas.openxmlformats.org/package/2006/relationships"><Relationship Type="http://schemas.openxmlformats.org/officeDocument/2006/relationships/hyperlink" Target="https://peerspot.com/products/rapid7-insightappsec-reviews" TargetMode="External" Id="rId1" /><Relationship Type="http://schemas.openxmlformats.org/officeDocument/2006/relationships/hyperlink" Target="https://docs.rapid7.com/insightappsec/authentication" TargetMode="External" Id="rId2" /><Relationship Type="http://schemas.openxmlformats.org/officeDocument/2006/relationships/hyperlink" Target="https://rapid7.com/products/insightappsec" TargetMode="External" Id="rId3" /><Relationship Type="http://schemas.openxmlformats.org/officeDocument/2006/relationships/hyperlink" Target="https://docs.rapid7.com/insightappsec/graphql" TargetMode="External" Id="rId4" /><Relationship Type="http://schemas.openxmlformats.org/officeDocument/2006/relationships/hyperlink" Target="https://vulnerability.severity" TargetMode="External" Id="rId5" /><Relationship Type="http://schemas.openxmlformats.org/officeDocument/2006/relationships/hyperlink" Target="https://docs.rapid7.com/insightappsec/setting-up-an-on-premise-scan-engine" TargetMode="External" Id="rId6" /><Relationship Type="http://schemas.openxmlformats.org/officeDocument/2006/relationships/hyperlink" Target="https://ASP.NET" TargetMode="External" Id="rId7" /><Relationship Type="http://schemas.openxmlformats.org/officeDocument/2006/relationships/hyperlink" Target="https://peerspot.com/products/rapid7-insightappsec-reviews" TargetMode="External" Id="rId8" /><Relationship Type="http://schemas.openxmlformats.org/officeDocument/2006/relationships/hyperlink" Target="https://rapid7.com/blog" TargetMode="External" Id="rId9" /><Relationship Type="http://schemas.openxmlformats.org/officeDocument/2006/relationships/hyperlink" Target="https://appsecsanta.com/insightappsec" TargetMode="External" Id="rId10" /><Relationship Type="http://schemas.openxmlformats.org/officeDocument/2006/relationships/hyperlink" Target="https://rapid7.com/products/insightappsec/features/powerful-reporting-for-compliance-and-remediation" TargetMode="External" Id="rId11" /><Relationship Type="http://schemas.openxmlformats.org/officeDocument/2006/relationships/hyperlink" Target="https://rapid7.com/blog" TargetMode="External" Id="rId12" /><Relationship Type="http://schemas.openxmlformats.org/officeDocument/2006/relationships/hyperlink" Target="https://docs.rapid7.com/insightappsec/test-vulnerability-remediation" TargetMode="External" Id="rId13" /><Relationship Type="http://schemas.openxmlformats.org/officeDocument/2006/relationships/hyperlink" Target="https://discuss.rapid7.com" TargetMode="External" Id="rId14" /><Relationship Type="http://schemas.openxmlformats.org/officeDocument/2006/relationships/hyperlink" Target="https://rapid7.com/products/insightappsec/pricing" TargetMode="External" Id="rId15" /><Relationship Type="http://schemas.openxmlformats.org/officeDocument/2006/relationships/hyperlink" Target="https://docs.rapid7.com/insightappsec/rbac" TargetMode="External" Id="rId16" /><Relationship Type="http://schemas.openxmlformats.org/officeDocument/2006/relationships/hyperlink" Target="https://aimultiple.com/dast-tools" TargetMode="External" Id="rId17" /><Relationship Type="http://schemas.openxmlformats.org/officeDocument/2006/relationships/hyperlink" Target="https://appsecsanta.com/insightappsec" TargetMode="External" Id="rId18" /><Relationship Type="http://schemas.openxmlformats.org/officeDocument/2006/relationships/hyperlink" Target="https://rapid7.com/trust/compliance" TargetMode="External" Id="rId19" /><Relationship Type="http://schemas.openxmlformats.org/officeDocument/2006/relationships/hyperlink" Target="https://armorcode.com/integrations" TargetMode="External" Id="rId20" /><Relationship Type="http://schemas.openxmlformats.org/officeDocument/2006/relationships/hyperlink" Target="https://docs.rapid7.com/insightappsec/concepts" TargetMode="External" Id="rId21" /><Relationship Type="http://schemas.openxmlformats.org/officeDocument/2006/relationships/hyperlink" Target="https://docs.rapid7.com/insightappsec/test-vulnerability-remediation" TargetMode="External" Id="rId22" /><Relationship Type="http://schemas.openxmlformats.org/officeDocument/2006/relationships/hyperlink" Target="https://docs.rapid7.com/insightappsec/monitor-appsec-data-with-dashboards" TargetMode="External" Id="rId23" /><Relationship Type="http://schemas.openxmlformats.org/officeDocument/2006/relationships/hyperlink" Target="https://docs.rapid7.com/insightappsec/show-progress-with-reports" TargetMode="External" Id="rId24" /><Relationship Type="http://schemas.openxmlformats.org/officeDocument/2006/relationships/hyperlink" Target="https://rapid7.com/blog" TargetMode="External" Id="rId25" /><Relationship Type="http://schemas.openxmlformats.org/officeDocument/2006/relationships/hyperlink" Target="https://rapid7.com/products/insightappsec" TargetMode="External" Id="rId26" /><Relationship Type="http://schemas.openxmlformats.org/officeDocument/2006/relationships/hyperlink" Target="https://rapid7.com/products/insightappsec" TargetMode="External" Id="rId27" /><Relationship Type="http://schemas.openxmlformats.org/officeDocument/2006/relationships/hyperlink" Target="https://rapid7.com/blog" TargetMode="External" Id="rId28" /><Relationship Type="http://schemas.openxmlformats.org/officeDocument/2006/relationships/hyperlink" Target="https://docs.rapid7.com/insightappsec/attack-templates" TargetMode="External" Id="rId29" /><Relationship Type="http://schemas.openxmlformats.org/officeDocument/2006/relationships/hyperlink" Target="https://marketplace.visualstudio.com/items?itemName=rapid7.rapid7-insightappsec-extension" TargetMode="External" Id="rId30" /><Relationship Type="http://schemas.openxmlformats.org/officeDocument/2006/relationships/hyperlink" Target="https://splunkbase.splunk.com/app/7362" TargetMode="External" Id="rId31" /><Relationship Type="http://schemas.openxmlformats.org/officeDocument/2006/relationships/hyperlink" Target="https://docs.rapid7.com/insightappsec/test-vulnerability-remediation" TargetMode="External" Id="rId32" /><Relationship Type="http://schemas.openxmlformats.org/officeDocument/2006/relationships/hyperlink" Target="https://docs.rapid7.com/insightappsec/attack-templates" TargetMode="External" Id="rId33" /></Relationships>
</file>

<file path=xl/worksheets/_rels/sheet11.xml.rels><Relationships xmlns="http://schemas.openxmlformats.org/package/2006/relationships"><Relationship Type="http://schemas.openxmlformats.org/officeDocument/2006/relationships/hyperlink" Target="https://qualys.com/apps/web-app-scanning" TargetMode="External" Id="rId1" /><Relationship Type="http://schemas.openxmlformats.org/officeDocument/2006/relationships/hyperlink" Target="https://success.qualys.com" TargetMode="External" Id="rId2" /><Relationship Type="http://schemas.openxmlformats.org/officeDocument/2006/relationships/hyperlink" Target="https://cdn2.qualys.com/docs/qualys-was-getting-started-guide.pdf" TargetMode="External" Id="rId3" /><Relationship Type="http://schemas.openxmlformats.org/officeDocument/2006/relationships/hyperlink" Target="https://docs.qualys.com" TargetMode="External" Id="rId4" /><Relationship Type="http://schemas.openxmlformats.org/officeDocument/2006/relationships/hyperlink" Target="https://plugins.jenkins.io/qualys-was" TargetMode="External" Id="rId5" /><Relationship Type="http://schemas.openxmlformats.org/officeDocument/2006/relationships/hyperlink" Target="https://docs.qualys.com" TargetMode="External" Id="rId6" /><Relationship Type="http://schemas.openxmlformats.org/officeDocument/2006/relationships/hyperlink" Target="https://ASP.NET" TargetMode="External" Id="rId7" /><Relationship Type="http://schemas.openxmlformats.org/officeDocument/2006/relationships/hyperlink" Target="https://getautonoma.com/blog/dast-tools" TargetMode="External" Id="rId8" /><Relationship Type="http://schemas.openxmlformats.org/officeDocument/2006/relationships/hyperlink" Target="https://blog.qualys.com" TargetMode="External" Id="rId9" /><Relationship Type="http://schemas.openxmlformats.org/officeDocument/2006/relationships/hyperlink" Target="https://docs.qualys.com" TargetMode="External" Id="rId10" /><Relationship Type="http://schemas.openxmlformats.org/officeDocument/2006/relationships/hyperlink" Target="https://blog.qualys.com" TargetMode="External" Id="rId11" /><Relationship Type="http://schemas.openxmlformats.org/officeDocument/2006/relationships/hyperlink" Target="https://qualys.com/apps/web-app-scanning" TargetMode="External" Id="rId12" /><Relationship Type="http://schemas.openxmlformats.org/officeDocument/2006/relationships/hyperlink" Target="https://docs.qualys.com/en/vmdr/latest/trurisk/truRisk_report.htm" TargetMode="External" Id="rId13" /><Relationship Type="http://schemas.openxmlformats.org/officeDocument/2006/relationships/hyperlink" Target="https://docs.qualys.com/en/was/latest/knowledgebase/ignore_vulnerability.htm" TargetMode="External" Id="rId14" /><Relationship Type="http://schemas.openxmlformats.org/officeDocument/2006/relationships/hyperlink" Target="https://qualysguard.qg2.apps.qualys.com" TargetMode="External" Id="rId15" /><Relationship Type="http://schemas.openxmlformats.org/officeDocument/2006/relationships/hyperlink" Target="https://docs.qualys.com" TargetMode="External" Id="rId16" /><Relationship Type="http://schemas.openxmlformats.org/officeDocument/2006/relationships/hyperlink" Target="https://beaglesecurity.com" TargetMode="External" Id="rId17" /><Relationship Type="http://schemas.openxmlformats.org/officeDocument/2006/relationships/hyperlink" Target="https://cdn2.qualys.com" TargetMode="External" Id="rId18" /><Relationship Type="http://schemas.openxmlformats.org/officeDocument/2006/relationships/hyperlink" Target="https://success.qualys.com" TargetMode="External" Id="rId19" /><Relationship Type="http://schemas.openxmlformats.org/officeDocument/2006/relationships/hyperlink" Target="https://technologypartners.qualys.com" TargetMode="External" Id="rId20" /><Relationship Type="http://schemas.openxmlformats.org/officeDocument/2006/relationships/hyperlink" Target="https://qualys.com/apps/truconfirm" TargetMode="External" Id="rId21" /><Relationship Type="http://schemas.openxmlformats.org/officeDocument/2006/relationships/hyperlink" Target="https://blog.qualys.com" TargetMode="External" Id="rId22" /><Relationship Type="http://schemas.openxmlformats.org/officeDocument/2006/relationships/hyperlink" Target="https://qualys.com" TargetMode="External" Id="rId23" /><Relationship Type="http://schemas.openxmlformats.org/officeDocument/2006/relationships/hyperlink" Target="https://qualys.com/apps/web-app-scanning" TargetMode="External" Id="rId24" /><Relationship Type="http://schemas.openxmlformats.org/officeDocument/2006/relationships/hyperlink" Target="https://qualysguard.qg2.apps.qualys.com" TargetMode="External" Id="rId25" /><Relationship Type="http://schemas.openxmlformats.org/officeDocument/2006/relationships/hyperlink" Target="https://docs.qualys.com" TargetMode="External" Id="rId26" /><Relationship Type="http://schemas.openxmlformats.org/officeDocument/2006/relationships/hyperlink" Target="https://qualysguard.qg2.apps.qualys.com" TargetMode="External" Id="rId27" /><Relationship Type="http://schemas.openxmlformats.org/officeDocument/2006/relationships/hyperlink" Target="https://plugins.jenkins.io/qualys-was" TargetMode="External" Id="rId28" /><Relationship Type="http://schemas.openxmlformats.org/officeDocument/2006/relationships/hyperlink" Target="https://splunkbase.splunk.com/app/3210" TargetMode="External" Id="rId29" /><Relationship Type="http://schemas.openxmlformats.org/officeDocument/2006/relationships/hyperlink" Target="https://qualys.com/faqs-resources-attack-surface-management" TargetMode="External" Id="rId30" /><Relationship Type="http://schemas.openxmlformats.org/officeDocument/2006/relationships/hyperlink" Target="https://qualys.com" TargetMode="External" Id="rId31" /><Relationship Type="http://schemas.openxmlformats.org/officeDocument/2006/relationships/hyperlink" Target="https://blog.qualys.com/product-tech/2023/04/03/augment-security-asset-tagging-with-custom-assessment-and-remediation-car" TargetMode="External" Id="rId32" /><Relationship Type="http://schemas.openxmlformats.org/officeDocument/2006/relationships/hyperlink" Target="https://securityweek.com" TargetMode="External" Id="rId33" /></Relationships>
</file>

<file path=xl/worksheets/sheet1.xml><?xml version="1.0" encoding="utf-8"?>
<worksheet xmlns="http://schemas.openxmlformats.org/spreadsheetml/2006/main">
  <sheetPr>
    <tabColor rgb="001F4E78"/>
    <outlinePr summaryBelow="1" summaryRight="1"/>
    <pageSetUpPr/>
  </sheetPr>
  <dimension ref="A1:I17"/>
  <sheetViews>
    <sheetView workbookViewId="0">
      <selection activeCell="A1" sqref="A1"/>
    </sheetView>
  </sheetViews>
  <sheetFormatPr baseColWidth="8" defaultRowHeight="15"/>
  <cols>
    <col width="4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8" customHeight="1">
      <c r="A1" s="1" t="inlineStr">
        <is>
          <t>Overview</t>
        </is>
      </c>
    </row>
    <row r="3" ht="20" customHeight="1">
      <c r="A3" s="2" t="inlineStr">
        <is>
          <t>About This Report</t>
        </is>
      </c>
    </row>
    <row r="4">
      <c r="A4" t="inlineStr">
        <is>
          <t>This workbook ranks DAST (dynamic application security testing) vendors against a weighted set of evaluation criteria, blending automated desk research with hands-on benchmark testing where available.</t>
        </is>
      </c>
    </row>
    <row r="5">
      <c r="A5" t="inlineStr">
        <is>
          <t>Reviewers can weigh in on any criterion on that vendor's tab and resolve disagreements with the automated score; resolved scores take precedence in the totals below. Claim a reviewer slot once on the "Reviewers" tab and it applies automatically to every vendor tab.</t>
        </is>
      </c>
    </row>
    <row r="6">
      <c r="A6" t="inlineStr">
        <is>
          <t>See the "How This Works" tab (last tab) for the full methodology, scoring formulas, and definitions.</t>
        </is>
      </c>
    </row>
    <row r="8" ht="34" customHeight="1">
      <c r="A8" s="3" t="inlineStr">
        <is>
          <t>Vendor</t>
        </is>
      </c>
      <c r="B8" s="3" t="inlineStr">
        <is>
          <t>Coverage</t>
        </is>
      </c>
      <c r="C8" s="3" t="inlineStr">
        <is>
          <t>Detection Quality</t>
        </is>
      </c>
      <c r="D8" s="3" t="inlineStr">
        <is>
          <t>Production Safety &amp; Operability</t>
        </is>
      </c>
      <c r="E8" s="3" t="inlineStr">
        <is>
          <t>Developer Experience</t>
        </is>
      </c>
      <c r="F8" s="3" t="inlineStr">
        <is>
          <t>Reporting &amp; Extensibility</t>
        </is>
      </c>
      <c r="G8" s="3" t="inlineStr">
        <is>
          <t>Deployment &amp; Data Governance</t>
        </is>
      </c>
      <c r="H8" s="3" t="inlineStr">
        <is>
          <t>Weighted Avg Score</t>
        </is>
      </c>
      <c r="I8" s="3" t="inlineStr">
        <is>
          <t>Total Achieved / Available</t>
        </is>
      </c>
    </row>
    <row r="9">
      <c r="A9" s="4" t="inlineStr">
        <is>
          <t>Invicti</t>
        </is>
      </c>
      <c r="B9" s="5">
        <f>IF('invicti'!E38=0,"Pending",'invicti'!C38/'invicti'!E38*5)</f>
        <v/>
      </c>
      <c r="C9" s="5">
        <f>IF('invicti'!E39=0,"Pending",'invicti'!C39/'invicti'!E39*5)</f>
        <v/>
      </c>
      <c r="D9" s="5">
        <f>IF('invicti'!E40=0,"Pending",'invicti'!C40/'invicti'!E40*5)</f>
        <v/>
      </c>
      <c r="E9" s="5">
        <f>IF('invicti'!E41=0,"Pending",'invicti'!C41/'invicti'!E41*5)</f>
        <v/>
      </c>
      <c r="F9" s="5">
        <f>IF('invicti'!E42=0,"Pending",'invicti'!C42/'invicti'!E42*5)</f>
        <v/>
      </c>
      <c r="G9" s="5">
        <f>IF('invicti'!E43=0,"Pending",'invicti'!C43/'invicti'!E43*5)</f>
        <v/>
      </c>
      <c r="H9" s="5">
        <f>IF('invicti'!E44=0,"Pending",'invicti'!C44/'invicti'!E44*5)</f>
        <v/>
      </c>
      <c r="I9" s="4">
        <f>'invicti'!D44</f>
        <v/>
      </c>
    </row>
    <row r="10">
      <c r="A10" t="inlineStr">
        <is>
          <t>StackHawk</t>
        </is>
      </c>
      <c r="B10" s="6">
        <f>IF('stackhawk'!E38=0,"Pending",'stackhawk'!C38/'stackhawk'!E38*5)</f>
        <v/>
      </c>
      <c r="C10" s="6">
        <f>IF('stackhawk'!E39=0,"Pending",'stackhawk'!C39/'stackhawk'!E39*5)</f>
        <v/>
      </c>
      <c r="D10" s="6">
        <f>IF('stackhawk'!E40=0,"Pending",'stackhawk'!C40/'stackhawk'!E40*5)</f>
        <v/>
      </c>
      <c r="E10" s="6">
        <f>IF('stackhawk'!E41=0,"Pending",'stackhawk'!C41/'stackhawk'!E41*5)</f>
        <v/>
      </c>
      <c r="F10" s="6">
        <f>IF('stackhawk'!E42=0,"Pending",'stackhawk'!C42/'stackhawk'!E42*5)</f>
        <v/>
      </c>
      <c r="G10" s="6">
        <f>IF('stackhawk'!E43=0,"Pending",'stackhawk'!C43/'stackhawk'!E43*5)</f>
        <v/>
      </c>
      <c r="H10" s="6">
        <f>IF('stackhawk'!E44=0,"Pending",'stackhawk'!C44/'stackhawk'!E44*5)</f>
        <v/>
      </c>
      <c r="I10">
        <f>'stackhawk'!D44</f>
        <v/>
      </c>
    </row>
    <row r="11">
      <c r="A11" t="inlineStr">
        <is>
          <t>HCL AppScan</t>
        </is>
      </c>
      <c r="B11" s="6">
        <f>IF('hcl-appscan'!E38=0,"Pending",'hcl-appscan'!C38/'hcl-appscan'!E38*5)</f>
        <v/>
      </c>
      <c r="C11" s="6">
        <f>IF('hcl-appscan'!E39=0,"Pending",'hcl-appscan'!C39/'hcl-appscan'!E39*5)</f>
        <v/>
      </c>
      <c r="D11" s="6">
        <f>IF('hcl-appscan'!E40=0,"Pending",'hcl-appscan'!C40/'hcl-appscan'!E40*5)</f>
        <v/>
      </c>
      <c r="E11" s="6">
        <f>IF('hcl-appscan'!E41=0,"Pending",'hcl-appscan'!C41/'hcl-appscan'!E41*5)</f>
        <v/>
      </c>
      <c r="F11" s="6">
        <f>IF('hcl-appscan'!E42=0,"Pending",'hcl-appscan'!C42/'hcl-appscan'!E42*5)</f>
        <v/>
      </c>
      <c r="G11" s="6">
        <f>IF('hcl-appscan'!E43=0,"Pending",'hcl-appscan'!C43/'hcl-appscan'!E43*5)</f>
        <v/>
      </c>
      <c r="H11" s="6">
        <f>IF('hcl-appscan'!E44=0,"Pending",'hcl-appscan'!C44/'hcl-appscan'!E44*5)</f>
        <v/>
      </c>
      <c r="I11">
        <f>'hcl-appscan'!D44</f>
        <v/>
      </c>
    </row>
    <row r="12">
      <c r="A12" t="inlineStr">
        <is>
          <t>Checkmarx DAST</t>
        </is>
      </c>
      <c r="B12" s="6">
        <f>IF('checkmarx-dast'!E38=0,"Pending",'checkmarx-dast'!C38/'checkmarx-dast'!E38*5)</f>
        <v/>
      </c>
      <c r="C12" s="6">
        <f>IF('checkmarx-dast'!E39=0,"Pending",'checkmarx-dast'!C39/'checkmarx-dast'!E39*5)</f>
        <v/>
      </c>
      <c r="D12" s="6">
        <f>IF('checkmarx-dast'!E40=0,"Pending",'checkmarx-dast'!C40/'checkmarx-dast'!E40*5)</f>
        <v/>
      </c>
      <c r="E12" s="6">
        <f>IF('checkmarx-dast'!E41=0,"Pending",'checkmarx-dast'!C41/'checkmarx-dast'!E41*5)</f>
        <v/>
      </c>
      <c r="F12" s="6">
        <f>IF('checkmarx-dast'!E42=0,"Pending",'checkmarx-dast'!C42/'checkmarx-dast'!E42*5)</f>
        <v/>
      </c>
      <c r="G12" s="6">
        <f>IF('checkmarx-dast'!E43=0,"Pending",'checkmarx-dast'!C43/'checkmarx-dast'!E43*5)</f>
        <v/>
      </c>
      <c r="H12" s="6">
        <f>IF('checkmarx-dast'!E44=0,"Pending",'checkmarx-dast'!C44/'checkmarx-dast'!E44*5)</f>
        <v/>
      </c>
      <c r="I12">
        <f>'checkmarx-dast'!D44</f>
        <v/>
      </c>
    </row>
    <row r="13">
      <c r="A13" t="inlineStr">
        <is>
          <t>Veracode Dynamic Analysis</t>
        </is>
      </c>
      <c r="B13" s="6">
        <f>IF('veracode'!E38=0,"Pending",'veracode'!C38/'veracode'!E38*5)</f>
        <v/>
      </c>
      <c r="C13" s="6">
        <f>IF('veracode'!E39=0,"Pending",'veracode'!C39/'veracode'!E39*5)</f>
        <v/>
      </c>
      <c r="D13" s="6">
        <f>IF('veracode'!E40=0,"Pending",'veracode'!C40/'veracode'!E40*5)</f>
        <v/>
      </c>
      <c r="E13" s="6">
        <f>IF('veracode'!E41=0,"Pending",'veracode'!C41/'veracode'!E41*5)</f>
        <v/>
      </c>
      <c r="F13" s="6">
        <f>IF('veracode'!E42=0,"Pending",'veracode'!C42/'veracode'!E42*5)</f>
        <v/>
      </c>
      <c r="G13" s="6">
        <f>IF('veracode'!E43=0,"Pending",'veracode'!C43/'veracode'!E43*5)</f>
        <v/>
      </c>
      <c r="H13" s="6">
        <f>IF('veracode'!E44=0,"Pending",'veracode'!C44/'veracode'!E44*5)</f>
        <v/>
      </c>
      <c r="I13">
        <f>'veracode'!D44</f>
        <v/>
      </c>
    </row>
    <row r="14">
      <c r="A14" t="inlineStr">
        <is>
          <t>OWASP ZAP</t>
        </is>
      </c>
      <c r="B14" s="6">
        <f>IF('zap'!E38=0,"Pending",'zap'!C38/'zap'!E38*5)</f>
        <v/>
      </c>
      <c r="C14" s="6">
        <f>IF('zap'!E39=0,"Pending",'zap'!C39/'zap'!E39*5)</f>
        <v/>
      </c>
      <c r="D14" s="6">
        <f>IF('zap'!E40=0,"Pending",'zap'!C40/'zap'!E40*5)</f>
        <v/>
      </c>
      <c r="E14" s="6">
        <f>IF('zap'!E41=0,"Pending",'zap'!C41/'zap'!E41*5)</f>
        <v/>
      </c>
      <c r="F14" s="6">
        <f>IF('zap'!E42=0,"Pending",'zap'!C42/'zap'!E42*5)</f>
        <v/>
      </c>
      <c r="G14" s="6">
        <f>IF('zap'!E43=0,"Pending",'zap'!C43/'zap'!E43*5)</f>
        <v/>
      </c>
      <c r="H14" s="6">
        <f>IF('zap'!E44=0,"Pending",'zap'!C44/'zap'!E44*5)</f>
        <v/>
      </c>
      <c r="I14">
        <f>'zap'!D44</f>
        <v/>
      </c>
    </row>
    <row r="15">
      <c r="A15" t="inlineStr">
        <is>
          <t>Rapid7 InsightAppSec</t>
        </is>
      </c>
      <c r="B15" s="6">
        <f>IF('rapid7-insightappsec'!E38=0,"Pending",'rapid7-insightappsec'!C38/'rapid7-insightappsec'!E38*5)</f>
        <v/>
      </c>
      <c r="C15" s="6">
        <f>IF('rapid7-insightappsec'!E39=0,"Pending",'rapid7-insightappsec'!C39/'rapid7-insightappsec'!E39*5)</f>
        <v/>
      </c>
      <c r="D15" s="6">
        <f>IF('rapid7-insightappsec'!E40=0,"Pending",'rapid7-insightappsec'!C40/'rapid7-insightappsec'!E40*5)</f>
        <v/>
      </c>
      <c r="E15" s="6">
        <f>IF('rapid7-insightappsec'!E41=0,"Pending",'rapid7-insightappsec'!C41/'rapid7-insightappsec'!E41*5)</f>
        <v/>
      </c>
      <c r="F15" s="6">
        <f>IF('rapid7-insightappsec'!E42=0,"Pending",'rapid7-insightappsec'!C42/'rapid7-insightappsec'!E42*5)</f>
        <v/>
      </c>
      <c r="G15" s="6">
        <f>IF('rapid7-insightappsec'!E43=0,"Pending",'rapid7-insightappsec'!C43/'rapid7-insightappsec'!E43*5)</f>
        <v/>
      </c>
      <c r="H15" s="6">
        <f>IF('rapid7-insightappsec'!E44=0,"Pending",'rapid7-insightappsec'!C44/'rapid7-insightappsec'!E44*5)</f>
        <v/>
      </c>
      <c r="I15">
        <f>'rapid7-insightappsec'!D44</f>
        <v/>
      </c>
    </row>
    <row r="16">
      <c r="A16" t="inlineStr">
        <is>
          <t>Nuclei</t>
        </is>
      </c>
      <c r="B16" s="6">
        <f>IF('nuclei'!E38=0,"Pending",'nuclei'!C38/'nuclei'!E38*5)</f>
        <v/>
      </c>
      <c r="C16" s="6">
        <f>IF('nuclei'!E39=0,"Pending",'nuclei'!C39/'nuclei'!E39*5)</f>
        <v/>
      </c>
      <c r="D16" s="6">
        <f>IF('nuclei'!E40=0,"Pending",'nuclei'!C40/'nuclei'!E40*5)</f>
        <v/>
      </c>
      <c r="E16" s="6">
        <f>IF('nuclei'!E41=0,"Pending",'nuclei'!C41/'nuclei'!E41*5)</f>
        <v/>
      </c>
      <c r="F16" s="6">
        <f>IF('nuclei'!E42=0,"Pending",'nuclei'!C42/'nuclei'!E42*5)</f>
        <v/>
      </c>
      <c r="G16" s="6">
        <f>IF('nuclei'!E43=0,"Pending",'nuclei'!C43/'nuclei'!E43*5)</f>
        <v/>
      </c>
      <c r="H16" s="6">
        <f>IF('nuclei'!E44=0,"Pending",'nuclei'!C44/'nuclei'!E44*5)</f>
        <v/>
      </c>
      <c r="I16">
        <f>'nuclei'!D44</f>
        <v/>
      </c>
    </row>
    <row r="17">
      <c r="A17" t="inlineStr">
        <is>
          <t>Qualys WAS</t>
        </is>
      </c>
      <c r="B17" s="6">
        <f>IF('qualys-was'!E38=0,"Pending",'qualys-was'!C38/'qualys-was'!E38*5)</f>
        <v/>
      </c>
      <c r="C17" s="6">
        <f>IF('qualys-was'!E39=0,"Pending",'qualys-was'!C39/'qualys-was'!E39*5)</f>
        <v/>
      </c>
      <c r="D17" s="6">
        <f>IF('qualys-was'!E40=0,"Pending",'qualys-was'!C40/'qualys-was'!E40*5)</f>
        <v/>
      </c>
      <c r="E17" s="6">
        <f>IF('qualys-was'!E41=0,"Pending",'qualys-was'!C41/'qualys-was'!E41*5)</f>
        <v/>
      </c>
      <c r="F17" s="6">
        <f>IF('qualys-was'!E42=0,"Pending",'qualys-was'!C42/'qualys-was'!E42*5)</f>
        <v/>
      </c>
      <c r="G17" s="6">
        <f>IF('qualys-was'!E43=0,"Pending",'qualys-was'!C43/'qualys-was'!E43*5)</f>
        <v/>
      </c>
      <c r="H17" s="6">
        <f>IF('qualys-was'!E44=0,"Pending",'qualys-was'!C44/'qualys-was'!E44*5)</f>
        <v/>
      </c>
      <c r="I17">
        <f>'qualys-was'!D44</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8E44AD"/>
    <outlinePr summaryBelow="1" summaryRight="1"/>
    <pageSetUpPr/>
  </sheetPr>
  <dimension ref="A1:C10"/>
  <sheetViews>
    <sheetView workbookViewId="0">
      <selection activeCell="A1" sqref="A1"/>
    </sheetView>
  </sheetViews>
  <sheetFormatPr baseColWidth="8" defaultRowHeight="15"/>
  <cols>
    <col width="8" customWidth="1" min="1" max="1"/>
    <col width="28" customWidth="1" min="2" max="2"/>
    <col width="28" customWidth="1" min="3" max="3"/>
  </cols>
  <sheetData>
    <row r="1" ht="28" customHeight="1">
      <c r="A1" s="1" t="inlineStr">
        <is>
          <t>Reviewers</t>
        </is>
      </c>
    </row>
    <row r="3">
      <c r="A3" t="inlineStr">
        <is>
          <t>Claim a slot by filling in your name and role below — it appears automatically on every vendor tab.</t>
        </is>
      </c>
    </row>
    <row r="4">
      <c r="A4" t="inlineStr">
        <is>
          <t>Please don't overwrite an existing reviewer's name/role — you may be reassigning someone else's already-entered scores to yourself.</t>
        </is>
      </c>
    </row>
    <row r="5" ht="20" customHeight="1">
      <c r="A5" s="3" t="inlineStr">
        <is>
          <t>Slot</t>
        </is>
      </c>
      <c r="B5" s="3" t="inlineStr">
        <is>
          <t>Name</t>
        </is>
      </c>
      <c r="C5" s="3" t="inlineStr">
        <is>
          <t>Role / Title</t>
        </is>
      </c>
    </row>
    <row r="6">
      <c r="A6" s="7" t="n">
        <v>1</v>
      </c>
      <c r="B6" s="8" t="n"/>
      <c r="C6" s="8" t="n"/>
    </row>
    <row r="7">
      <c r="A7" s="9" t="n">
        <v>2</v>
      </c>
      <c r="B7" s="10" t="n"/>
      <c r="C7" s="10" t="n"/>
    </row>
    <row r="8">
      <c r="A8" s="7" t="n">
        <v>3</v>
      </c>
      <c r="B8" s="8" t="n"/>
      <c r="C8" s="8" t="n"/>
    </row>
    <row r="9">
      <c r="A9" s="9" t="n">
        <v>4</v>
      </c>
      <c r="B9" s="10" t="n"/>
      <c r="C9" s="10" t="n"/>
    </row>
    <row r="10">
      <c r="A10" s="7" t="n">
        <v>5</v>
      </c>
      <c r="B10" s="8" t="n"/>
      <c r="C10" s="8"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3.xml><?xml version="1.0" encoding="utf-8"?>
<worksheet xmlns="http://schemas.openxmlformats.org/spreadsheetml/2006/main">
  <sheetPr>
    <tabColor rgb="002E86AB"/>
    <outlinePr summaryBelow="1" summaryRight="1"/>
    <pageSetUpPr/>
  </sheetPr>
  <dimension ref="A1:AB44"/>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0" customWidth="1" min="3" max="3"/>
    <col width="14" customWidth="1" min="4" max="4"/>
    <col width="45" customWidth="1" min="5" max="5"/>
    <col width="16" customWidth="1" min="6" max="6"/>
    <col width="12" customWidth="1" min="7" max="7"/>
    <col width="12" customWidth="1" min="8" max="8"/>
    <col width="40" customWidth="1" min="9" max="9"/>
    <col width="12" customWidth="1" min="10" max="10"/>
    <col width="12" customWidth="1" min="11" max="11"/>
    <col width="40" customWidth="1" min="12" max="12"/>
    <col width="12" customWidth="1" min="13" max="13"/>
    <col width="12" customWidth="1" min="14" max="14"/>
    <col width="40" customWidth="1" min="15" max="15"/>
    <col width="12" customWidth="1" min="16" max="16"/>
    <col width="12" customWidth="1" min="17" max="17"/>
    <col width="40" customWidth="1" min="18" max="18"/>
    <col width="12" customWidth="1" min="19" max="19"/>
    <col width="12" customWidth="1" min="20" max="20"/>
    <col width="40" customWidth="1" min="21" max="21"/>
    <col width="14" customWidth="1" min="22" max="22"/>
    <col width="16" customWidth="1" min="23" max="23"/>
    <col width="18" customWidth="1" min="24" max="24"/>
    <col width="14" customWidth="1" min="25" max="25"/>
    <col hidden="1" width="13" customWidth="1" min="26" max="26"/>
    <col hidden="1" width="13" customWidth="1" min="27" max="27"/>
    <col hidden="1" width="13" customWidth="1" min="28" max="28"/>
  </cols>
  <sheetData>
    <row r="1" ht="28" customHeight="1">
      <c r="A1" s="1" t="inlineStr">
        <is>
          <t>Invicti</t>
        </is>
      </c>
    </row>
    <row r="2" ht="24" customHeight="1">
      <c r="G2" s="3">
        <f>IF(Reviewers!B6="","Unassigned — see Reviewers tab",Reviewers!B6&amp;" - "&amp;Reviewers!C6)</f>
        <v/>
      </c>
      <c r="J2" s="3">
        <f>IF(Reviewers!B7="","Unassigned — see Reviewers tab",Reviewers!B7&amp;" - "&amp;Reviewers!C7)</f>
        <v/>
      </c>
      <c r="M2" s="3">
        <f>IF(Reviewers!B8="","Unassigned — see Reviewers tab",Reviewers!B8&amp;" - "&amp;Reviewers!C8)</f>
        <v/>
      </c>
      <c r="P2" s="3">
        <f>IF(Reviewers!B9="","Unassigned — see Reviewers tab",Reviewers!B9&amp;" - "&amp;Reviewers!C9)</f>
        <v/>
      </c>
      <c r="S2" s="3">
        <f>IF(Reviewers!B10="","Unassigned — see Reviewers tab",Reviewers!B10&amp;" - "&amp;Reviewers!C10)</f>
        <v/>
      </c>
    </row>
    <row r="3" ht="36" customHeight="1">
      <c r="A3" s="3" t="inlineStr">
        <is>
          <t>Criterion</t>
        </is>
      </c>
      <c r="B3" s="3" t="inlineStr">
        <is>
          <t>Category</t>
        </is>
      </c>
      <c r="C3" s="3" t="inlineStr">
        <is>
          <t>Weight</t>
        </is>
      </c>
      <c r="D3" s="3" t="inlineStr">
        <is>
          <t>Automated Score</t>
        </is>
      </c>
      <c r="E3" s="3" t="inlineStr">
        <is>
          <t>Automated Evidence</t>
        </is>
      </c>
      <c r="F3" s="3" t="inlineStr">
        <is>
          <t>Automated Confidence</t>
        </is>
      </c>
      <c r="G3" s="3" t="inlineStr">
        <is>
          <t>Score</t>
        </is>
      </c>
      <c r="H3" s="3" t="inlineStr">
        <is>
          <t>Dispute?</t>
        </is>
      </c>
      <c r="I3" s="3" t="inlineStr">
        <is>
          <t>Rationale</t>
        </is>
      </c>
      <c r="J3" s="3" t="inlineStr">
        <is>
          <t>Score</t>
        </is>
      </c>
      <c r="K3" s="3" t="inlineStr">
        <is>
          <t>Dispute?</t>
        </is>
      </c>
      <c r="L3" s="3" t="inlineStr">
        <is>
          <t>Rationale</t>
        </is>
      </c>
      <c r="M3" s="3" t="inlineStr">
        <is>
          <t>Score</t>
        </is>
      </c>
      <c r="N3" s="3" t="inlineStr">
        <is>
          <t>Dispute?</t>
        </is>
      </c>
      <c r="O3" s="3" t="inlineStr">
        <is>
          <t>Rationale</t>
        </is>
      </c>
      <c r="P3" s="3" t="inlineStr">
        <is>
          <t>Score</t>
        </is>
      </c>
      <c r="Q3" s="3" t="inlineStr">
        <is>
          <t>Dispute?</t>
        </is>
      </c>
      <c r="R3" s="3" t="inlineStr">
        <is>
          <t>Rationale</t>
        </is>
      </c>
      <c r="S3" s="3" t="inlineStr">
        <is>
          <t>Score</t>
        </is>
      </c>
      <c r="T3" s="3" t="inlineStr">
        <is>
          <t>Dispute?</t>
        </is>
      </c>
      <c r="U3" s="3" t="inlineStr">
        <is>
          <t>Rationale</t>
        </is>
      </c>
      <c r="V3" s="3" t="inlineStr">
        <is>
          <t>Resolved Score</t>
        </is>
      </c>
      <c r="W3" s="3" t="inlineStr">
        <is>
          <t>Resolved By</t>
        </is>
      </c>
      <c r="X3" s="3" t="inlineStr">
        <is>
          <t>Resolved Timestamp</t>
        </is>
      </c>
      <c r="Y3" s="3" t="inlineStr">
        <is>
          <t>Automated vs. Resolved Delta</t>
        </is>
      </c>
      <c r="Z3" s="3" t="inlineStr">
        <is>
          <t>_criterion_id</t>
        </is>
      </c>
      <c r="AA3" s="3" t="inlineStr">
        <is>
          <t>_pending</t>
        </is>
      </c>
      <c r="AB3" s="3" t="inlineStr">
        <is>
          <t>_effective_score</t>
        </is>
      </c>
    </row>
    <row r="4">
      <c r="A4" s="11" t="inlineStr">
        <is>
          <t>Detection Accuracy</t>
        </is>
      </c>
      <c r="B4" s="11" t="inlineStr">
        <is>
          <t>Detection Quality</t>
        </is>
      </c>
      <c r="C4" s="6" t="n">
        <v>7</v>
      </c>
      <c r="D4" s="6" t="n">
        <v>4</v>
      </c>
      <c r="E4" s="12" t="inlineStr">
        <is>
          <r>
            <t xml:space="preserve">VENDOR CLAIM, not independently verified: Proof-Based Scanning claims 99.98% detection accuracy. Source: </t>
          </r>
          <r>
            <rPr>
              <color rgb="000563C1"/>
              <u val="single"/>
            </rPr>
            <t>invicti.com/features/proof-based-scanning</t>
          </r>
        </is>
      </c>
      <c r="F4" s="11" t="inlineStr">
        <is>
          <t>paper</t>
        </is>
      </c>
      <c r="G4" s="13" t="n"/>
      <c r="H4" s="14" t="n"/>
      <c r="I4" s="15" t="n"/>
      <c r="J4" s="13" t="n"/>
      <c r="K4" s="14" t="n"/>
      <c r="L4" s="15" t="n"/>
      <c r="M4" s="13" t="n"/>
      <c r="N4" s="14" t="n"/>
      <c r="O4" s="15" t="n"/>
      <c r="P4" s="13" t="n"/>
      <c r="Q4" s="14" t="n"/>
      <c r="R4" s="15" t="n"/>
      <c r="S4" s="13" t="n"/>
      <c r="T4" s="14" t="n"/>
      <c r="U4" s="15" t="n"/>
      <c r="V4" s="13" t="n"/>
      <c r="W4" s="14" t="n"/>
      <c r="X4" s="14" t="n"/>
      <c r="Y4" s="6">
        <f>IF(ISBLANK(V4),"",V4-D4)</f>
        <v/>
      </c>
      <c r="Z4" t="inlineStr">
        <is>
          <t>detection-accuracy</t>
        </is>
      </c>
      <c r="AA4" t="n">
        <v>0</v>
      </c>
      <c r="AB4">
        <f>IF(ISBLANK(V4),D4,V4)</f>
        <v/>
      </c>
    </row>
    <row r="5">
      <c r="A5" s="16" t="inlineStr">
        <is>
          <t>Authentication &amp; Session Handling</t>
        </is>
      </c>
      <c r="B5" s="16" t="inlineStr">
        <is>
          <t>Coverage</t>
        </is>
      </c>
      <c r="C5" s="17" t="n">
        <v>6</v>
      </c>
      <c r="D5" s="17" t="n">
        <v>4</v>
      </c>
      <c r="E5" s="18" t="inlineStr">
        <is>
          <r>
            <t xml:space="preserve">Supports API Key, Bearer Token, JWT, Basic Auth, and OAuth 2.0; explicit messaging on handling SSO/MFA for thorough authenticated testing. Source: </t>
          </r>
          <r>
            <rPr>
              <color rgb="000563C1"/>
              <u val="single"/>
            </rPr>
            <t>invicti.com/features/api-security-testing</t>
          </r>
        </is>
      </c>
      <c r="F5" s="16" t="inlineStr">
        <is>
          <t>paper</t>
        </is>
      </c>
      <c r="G5" s="19" t="n"/>
      <c r="H5" s="20" t="n"/>
      <c r="I5" s="21" t="n"/>
      <c r="J5" s="19" t="n"/>
      <c r="K5" s="20" t="n"/>
      <c r="L5" s="21" t="n"/>
      <c r="M5" s="19" t="n"/>
      <c r="N5" s="20" t="n"/>
      <c r="O5" s="21" t="n"/>
      <c r="P5" s="19" t="n"/>
      <c r="Q5" s="20" t="n"/>
      <c r="R5" s="21" t="n"/>
      <c r="S5" s="19" t="n"/>
      <c r="T5" s="20" t="n"/>
      <c r="U5" s="21" t="n"/>
      <c r="V5" s="19" t="n"/>
      <c r="W5" s="20" t="n"/>
      <c r="X5" s="20" t="n"/>
      <c r="Y5" s="17">
        <f>IF(ISBLANK(V5),"",V5-D5)</f>
        <v/>
      </c>
      <c r="Z5" s="22" t="inlineStr">
        <is>
          <t>auth-session-handling</t>
        </is>
      </c>
      <c r="AA5" s="22" t="n">
        <v>0</v>
      </c>
      <c r="AB5" s="22">
        <f>IF(ISBLANK(V5),D5,V5)</f>
        <v/>
      </c>
    </row>
    <row r="6">
      <c r="A6" s="11" t="inlineStr">
        <is>
          <t>Safe Production Scanning</t>
        </is>
      </c>
      <c r="B6" s="11" t="inlineStr">
        <is>
          <t>Production Safety &amp; Operability</t>
        </is>
      </c>
      <c r="C6" s="6" t="n">
        <v>6</v>
      </c>
      <c r="D6" s="6" t="n">
        <v>4</v>
      </c>
      <c r="E6" s="12" t="inlineStr">
        <is>
          <r>
            <t xml:space="preserve">Revised up with real citations: a dedicated 'Scanning Production Environments' guide exists, passive security checks issue no extra HTTP requests, and scan speed is configurable across four tiers (Sequential/Slow/Moderate/Fast) specifically to handle rate-limited/production environments -- more concrete than initially found, though Invicti's own docs still caveat that active checks can be invasive even though non-destructive. Source: </t>
          </r>
          <r>
            <rPr>
              <color rgb="000563C1"/>
              <u val="single"/>
            </rPr>
            <t>invicti.com/support/scanning-production-environment</t>
          </r>
          <r>
            <t>, docs.invicti.com/ip/target-scan-configuration</t>
          </r>
        </is>
      </c>
      <c r="F6" s="11" t="inlineStr">
        <is>
          <t>paper</t>
        </is>
      </c>
      <c r="G6" s="13" t="n"/>
      <c r="H6" s="14" t="n"/>
      <c r="I6" s="15" t="n"/>
      <c r="J6" s="13" t="n"/>
      <c r="K6" s="14" t="n"/>
      <c r="L6" s="15" t="n"/>
      <c r="M6" s="13" t="n"/>
      <c r="N6" s="14" t="n"/>
      <c r="O6" s="15" t="n"/>
      <c r="P6" s="13" t="n"/>
      <c r="Q6" s="14" t="n"/>
      <c r="R6" s="15" t="n"/>
      <c r="S6" s="13" t="n"/>
      <c r="T6" s="14" t="n"/>
      <c r="U6" s="15" t="n"/>
      <c r="V6" s="13" t="n"/>
      <c r="W6" s="14" t="n"/>
      <c r="X6" s="14" t="n"/>
      <c r="Y6" s="6">
        <f>IF(ISBLANK(V6),"",V6-D6)</f>
        <v/>
      </c>
      <c r="Z6" t="inlineStr">
        <is>
          <t>safe-prod-scanning</t>
        </is>
      </c>
      <c r="AA6" t="n">
        <v>0</v>
      </c>
      <c r="AB6">
        <f>IF(ISBLANK(V6),D6,V6)</f>
        <v/>
      </c>
    </row>
    <row r="7">
      <c r="A7" s="16" t="inlineStr">
        <is>
          <t>API/SPA Coverage</t>
        </is>
      </c>
      <c r="B7" s="16" t="inlineStr">
        <is>
          <t>Coverage</t>
        </is>
      </c>
      <c r="C7" s="17" t="n">
        <v>5</v>
      </c>
      <c r="D7" s="17" t="n">
        <v>4.5</v>
      </c>
      <c r="E7" s="18" t="inlineStr">
        <is>
          <r>
            <t xml:space="preserve">Full browser-engine crawling accurately scans SPAs (jQuery/AngularJS), executing JS and parsing dynamic elements; REST/SOAP/GraphQL support with automatic schema/introspection discovery even without an imported schema. Source: </t>
          </r>
          <r>
            <rPr>
              <color rgb="000563C1"/>
              <u val="single"/>
            </rPr>
            <t>invicti.com/support/scanning-graphql-api</t>
          </r>
          <r>
            <t>, invicti.com/features/advanced-website-crawling-technologies</t>
          </r>
        </is>
      </c>
      <c r="F7" s="16" t="inlineStr">
        <is>
          <t>paper</t>
        </is>
      </c>
      <c r="G7" s="19" t="n"/>
      <c r="H7" s="20" t="n"/>
      <c r="I7" s="21" t="n"/>
      <c r="J7" s="19" t="n"/>
      <c r="K7" s="20" t="n"/>
      <c r="L7" s="21" t="n"/>
      <c r="M7" s="19" t="n"/>
      <c r="N7" s="20" t="n"/>
      <c r="O7" s="21" t="n"/>
      <c r="P7" s="19" t="n"/>
      <c r="Q7" s="20" t="n"/>
      <c r="R7" s="21" t="n"/>
      <c r="S7" s="19" t="n"/>
      <c r="T7" s="20" t="n"/>
      <c r="U7" s="21" t="n"/>
      <c r="V7" s="19" t="n"/>
      <c r="W7" s="20" t="n"/>
      <c r="X7" s="20" t="n"/>
      <c r="Y7" s="17">
        <f>IF(ISBLANK(V7),"",V7-D7)</f>
        <v/>
      </c>
      <c r="Z7" s="22" t="inlineStr">
        <is>
          <t>api-spa-coverage</t>
        </is>
      </c>
      <c r="AA7" s="22" t="n">
        <v>0</v>
      </c>
      <c r="AB7" s="22">
        <f>IF(ISBLANK(V7),D7,V7)</f>
        <v/>
      </c>
    </row>
    <row r="8">
      <c r="A8" s="11" t="inlineStr">
        <is>
          <t>CI/CD-Native Fit</t>
        </is>
      </c>
      <c r="B8" s="11" t="inlineStr">
        <is>
          <t>Production Safety &amp; Operability</t>
        </is>
      </c>
      <c r="C8" s="6" t="n">
        <v>5</v>
      </c>
      <c r="D8" s="6" t="n">
        <v>5</v>
      </c>
      <c r="E8" s="12" t="inlineStr">
        <is>
          <r>
            <t xml:space="preserve">Native integration across GitHub Actions, Jenkins, GitLab CI, Azure DevOps, CircleCI, Bamboo, TeamCity, and Bitbucket Pipelines via a Docker-based scan-cli container configured entirely through environment variables; explicit exit-code-based build-gating and branch-protection/deployment-gate workflows. Source: </t>
          </r>
          <r>
            <rPr>
              <color rgb="000563C1"/>
              <u val="single"/>
            </rPr>
            <t>invicti.com/support/integrating-invicti-enterprise-github-actions</t>
          </r>
          <r>
            <t>, invicti.com/blog/web-security/api-security-testing-cicd-integration</t>
          </r>
        </is>
      </c>
      <c r="F8" s="11" t="inlineStr">
        <is>
          <t>paper</t>
        </is>
      </c>
      <c r="G8" s="13" t="n"/>
      <c r="H8" s="14" t="n"/>
      <c r="I8" s="15" t="n"/>
      <c r="J8" s="13" t="n"/>
      <c r="K8" s="14" t="n"/>
      <c r="L8" s="15" t="n"/>
      <c r="M8" s="13" t="n"/>
      <c r="N8" s="14" t="n"/>
      <c r="O8" s="15" t="n"/>
      <c r="P8" s="13" t="n"/>
      <c r="Q8" s="14" t="n"/>
      <c r="R8" s="15" t="n"/>
      <c r="S8" s="13" t="n"/>
      <c r="T8" s="14" t="n"/>
      <c r="U8" s="15" t="n"/>
      <c r="V8" s="13" t="n"/>
      <c r="W8" s="14" t="n"/>
      <c r="X8" s="14" t="n"/>
      <c r="Y8" s="6">
        <f>IF(ISBLANK(V8),"",V8-D8)</f>
        <v/>
      </c>
      <c r="Z8" t="inlineStr">
        <is>
          <t>cicd-native-fit</t>
        </is>
      </c>
      <c r="AA8" t="n">
        <v>0</v>
      </c>
      <c r="AB8">
        <f>IF(ISBLANK(V8),D8,V8)</f>
        <v/>
      </c>
    </row>
    <row r="9">
      <c r="A9" s="16" t="inlineStr">
        <is>
          <t>Deployment Model &amp; Data Residency</t>
        </is>
      </c>
      <c r="B9" s="16" t="inlineStr">
        <is>
          <t>Deployment &amp; Data Governance</t>
        </is>
      </c>
      <c r="C9" s="17" t="n">
        <v>5</v>
      </c>
      <c r="D9" s="17" t="n">
        <v>4.5</v>
      </c>
      <c r="E9" s="18" t="inlineStr">
        <is>
          <r>
            <t xml:space="preserve">Three deployment options: cloud-hosted, on-premises, and hybrid; on-prem supports fully air-gapped networks with no internet connectivity and explicit HIPAA/PCI-DSS/GDPR data-residency compliance. Source: </t>
          </r>
          <r>
            <rPr>
              <color rgb="000563C1"/>
              <u val="single"/>
            </rPr>
            <t>invicti.com/pci-asv-scanner</t>
          </r>
        </is>
      </c>
      <c r="F9" s="16" t="inlineStr">
        <is>
          <t>paper</t>
        </is>
      </c>
      <c r="G9" s="19" t="n"/>
      <c r="H9" s="20" t="n"/>
      <c r="I9" s="21" t="n"/>
      <c r="J9" s="19" t="n"/>
      <c r="K9" s="20" t="n"/>
      <c r="L9" s="21" t="n"/>
      <c r="M9" s="19" t="n"/>
      <c r="N9" s="20" t="n"/>
      <c r="O9" s="21" t="n"/>
      <c r="P9" s="19" t="n"/>
      <c r="Q9" s="20" t="n"/>
      <c r="R9" s="21" t="n"/>
      <c r="S9" s="19" t="n"/>
      <c r="T9" s="20" t="n"/>
      <c r="U9" s="21" t="n"/>
      <c r="V9" s="19" t="n"/>
      <c r="W9" s="20" t="n"/>
      <c r="X9" s="20" t="n"/>
      <c r="Y9" s="17">
        <f>IF(ISBLANK(V9),"",V9-D9)</f>
        <v/>
      </c>
      <c r="Z9" s="22" t="inlineStr">
        <is>
          <t>deployment-model-data-residency</t>
        </is>
      </c>
      <c r="AA9" s="22" t="n">
        <v>0</v>
      </c>
      <c r="AB9" s="22">
        <f>IF(ISBLANK(V9),D9,V9)</f>
        <v/>
      </c>
    </row>
    <row r="10">
      <c r="A10" s="11" t="inlineStr">
        <is>
          <t>Legacy Application &amp; Protocol Support</t>
        </is>
      </c>
      <c r="B10" s="11" t="inlineStr">
        <is>
          <t>Coverage</t>
        </is>
      </c>
      <c r="C10" s="6" t="n">
        <v>5</v>
      </c>
      <c r="D10" s="6" t="n">
        <v>3</v>
      </c>
      <c r="E10" s="12" t="inlineStr">
        <is>
          <r>
            <t xml:space="preserve">SOAP API scanning explicitly supported via WSDL schema parsing (file or URL), and </t>
          </r>
          <r>
            <rPr>
              <color rgb="000563C1"/>
              <u val="single"/>
            </rPr>
            <t>ASP.NET</t>
          </r>
          <r>
            <t xml:space="preserve"> applications are explicitly detected/supported including JS-heavy interfaces; no JSP-specific accuracy claims found beyond general protocol coverage. Source: invicti.com/soap-scanner, invicti.com/web-vulnerability-scanner/vulnerabilities/aspnet-identified</t>
          </r>
        </is>
      </c>
      <c r="F10" s="11" t="inlineStr">
        <is>
          <t>paper</t>
        </is>
      </c>
      <c r="G10" s="13" t="n"/>
      <c r="H10" s="14" t="n"/>
      <c r="I10" s="15" t="n"/>
      <c r="J10" s="13" t="n"/>
      <c r="K10" s="14" t="n"/>
      <c r="L10" s="15" t="n"/>
      <c r="M10" s="13" t="n"/>
      <c r="N10" s="14" t="n"/>
      <c r="O10" s="15" t="n"/>
      <c r="P10" s="13" t="n"/>
      <c r="Q10" s="14" t="n"/>
      <c r="R10" s="15" t="n"/>
      <c r="S10" s="13" t="n"/>
      <c r="T10" s="14" t="n"/>
      <c r="U10" s="15" t="n"/>
      <c r="V10" s="13" t="n"/>
      <c r="W10" s="14" t="n"/>
      <c r="X10" s="14" t="n"/>
      <c r="Y10" s="6">
        <f>IF(ISBLANK(V10),"",V10-D10)</f>
        <v/>
      </c>
      <c r="Z10" t="inlineStr">
        <is>
          <t>legacy-app-protocol-support</t>
        </is>
      </c>
      <c r="AA10" t="n">
        <v>0</v>
      </c>
      <c r="AB10">
        <f>IF(ISBLANK(V10),D10,V10)</f>
        <v/>
      </c>
    </row>
    <row r="11">
      <c r="A11" s="16" t="inlineStr">
        <is>
          <t>Business Logic &amp; Workflow Vulnerability Detection</t>
        </is>
      </c>
      <c r="B11" s="16" t="inlineStr">
        <is>
          <t>Coverage</t>
        </is>
      </c>
      <c r="C11" s="17" t="n">
        <v>4</v>
      </c>
      <c r="D11" s="17" t="n">
        <v>4</v>
      </c>
      <c r="E11" s="18" t="inlineStr">
        <is>
          <r>
            <t xml:space="preserve">Named 'Business Logic Recorder' (BLR) for multi-step workflow/form testing, plus stateful API scanning maintaining auth/session context across multi-step API calls to catch BOLA/BFLA. Not a full 5: BLR's own docs note different recordings don't rely on/sequence with one another, limiting true cross-recording attack chains. Source: </t>
          </r>
          <r>
            <rPr>
              <color rgb="000563C1"/>
              <u val="single"/>
            </rPr>
            <t>docs.invicti.com/ie-is/business-logic-recorder-invicti</t>
          </r>
          <r>
            <t>, invicti.com/blog/web-security/automate-api-security-testing</t>
          </r>
        </is>
      </c>
      <c r="F11" s="16" t="inlineStr">
        <is>
          <t>paper</t>
        </is>
      </c>
      <c r="G11" s="19" t="n"/>
      <c r="H11" s="20" t="n"/>
      <c r="I11" s="21" t="n"/>
      <c r="J11" s="19" t="n"/>
      <c r="K11" s="20" t="n"/>
      <c r="L11" s="21" t="n"/>
      <c r="M11" s="19" t="n"/>
      <c r="N11" s="20" t="n"/>
      <c r="O11" s="21" t="n"/>
      <c r="P11" s="19" t="n"/>
      <c r="Q11" s="20" t="n"/>
      <c r="R11" s="21" t="n"/>
      <c r="S11" s="19" t="n"/>
      <c r="T11" s="20" t="n"/>
      <c r="U11" s="21" t="n"/>
      <c r="V11" s="19" t="n"/>
      <c r="W11" s="20" t="n"/>
      <c r="X11" s="20" t="n"/>
      <c r="Y11" s="17">
        <f>IF(ISBLANK(V11),"",V11-D11)</f>
        <v/>
      </c>
      <c r="Z11" s="22" t="inlineStr">
        <is>
          <t>business-logic-workflow-detection</t>
        </is>
      </c>
      <c r="AA11" s="22" t="n">
        <v>0</v>
      </c>
      <c r="AB11" s="22">
        <f>IF(ISBLANK(V11),D11,V11)</f>
        <v/>
      </c>
    </row>
    <row r="12">
      <c r="A12" s="11" t="inlineStr">
        <is>
          <t>Compliance &amp; Standards Mapping</t>
        </is>
      </c>
      <c r="B12" s="11" t="inlineStr">
        <is>
          <t>Detection Quality</t>
        </is>
      </c>
      <c r="C12" s="6" t="n">
        <v>4</v>
      </c>
      <c r="D12" s="6" t="n">
        <v>4.5</v>
      </c>
      <c r="E12" s="12" t="inlineStr">
        <is>
          <r>
            <t xml:space="preserve">Built-in compliance reporting for PCI DSS, ISO 27001, HIPAA, and SOC 2; PCI DSS reports explicitly show which findings violate specific control sections. Source: </t>
          </r>
          <r>
            <rPr>
              <color rgb="000563C1"/>
              <u val="single"/>
            </rPr>
            <t>invicti.com/blog/web-security/how-dast-supports-compliance-pci-dss-iso27001-hipaa-soc2</t>
          </r>
        </is>
      </c>
      <c r="F12" s="11" t="inlineStr">
        <is>
          <t>paper</t>
        </is>
      </c>
      <c r="G12" s="13" t="n"/>
      <c r="H12" s="14" t="n"/>
      <c r="I12" s="15" t="n"/>
      <c r="J12" s="13" t="n"/>
      <c r="K12" s="14" t="n"/>
      <c r="L12" s="15" t="n"/>
      <c r="M12" s="13" t="n"/>
      <c r="N12" s="14" t="n"/>
      <c r="O12" s="15" t="n"/>
      <c r="P12" s="13" t="n"/>
      <c r="Q12" s="14" t="n"/>
      <c r="R12" s="15" t="n"/>
      <c r="S12" s="13" t="n"/>
      <c r="T12" s="14" t="n"/>
      <c r="U12" s="15" t="n"/>
      <c r="V12" s="13" t="n"/>
      <c r="W12" s="14" t="n"/>
      <c r="X12" s="14" t="n"/>
      <c r="Y12" s="6">
        <f>IF(ISBLANK(V12),"",V12-D12)</f>
        <v/>
      </c>
      <c r="Z12" t="inlineStr">
        <is>
          <t>compliance-standards-mapping</t>
        </is>
      </c>
      <c r="AA12" t="n">
        <v>0</v>
      </c>
      <c r="AB12">
        <f>IF(ISBLANK(V12),D12,V12)</f>
        <v/>
      </c>
    </row>
    <row r="13">
      <c r="A13" s="16" t="inlineStr">
        <is>
          <t>Noise / False-Positive Rate</t>
        </is>
      </c>
      <c r="B13" s="16" t="inlineStr">
        <is>
          <t>Detection Quality</t>
        </is>
      </c>
      <c r="C13" s="17" t="n">
        <v>4</v>
      </c>
      <c r="D13" s="17" t="n">
        <v>4.5</v>
      </c>
      <c r="E13" s="18" t="inlineStr">
        <is>
          <r>
            <t xml:space="preserve">Proof-Based Scanning automatically re-exploits detected vulnerabilities in a safe way to confirm they're real (not theoretical), specifically designed to eliminate false positives before they reach a triage queue. Source: </t>
          </r>
          <r>
            <rPr>
              <color rgb="000563C1"/>
              <u val="single"/>
            </rPr>
            <t>invicti.com/features/proof-based-scanning</t>
          </r>
        </is>
      </c>
      <c r="F13" s="16" t="inlineStr">
        <is>
          <t>paper</t>
        </is>
      </c>
      <c r="G13" s="19" t="n"/>
      <c r="H13" s="20" t="n"/>
      <c r="I13" s="21" t="n"/>
      <c r="J13" s="19" t="n"/>
      <c r="K13" s="20" t="n"/>
      <c r="L13" s="21" t="n"/>
      <c r="M13" s="19" t="n"/>
      <c r="N13" s="20" t="n"/>
      <c r="O13" s="21" t="n"/>
      <c r="P13" s="19" t="n"/>
      <c r="Q13" s="20" t="n"/>
      <c r="R13" s="21" t="n"/>
      <c r="S13" s="19" t="n"/>
      <c r="T13" s="20" t="n"/>
      <c r="U13" s="21" t="n"/>
      <c r="V13" s="19" t="n"/>
      <c r="W13" s="20" t="n"/>
      <c r="X13" s="20" t="n"/>
      <c r="Y13" s="17">
        <f>IF(ISBLANK(V13),"",V13-D13)</f>
        <v/>
      </c>
      <c r="Z13" s="22" t="inlineStr">
        <is>
          <t>false-positive-rate</t>
        </is>
      </c>
      <c r="AA13" s="22" t="n">
        <v>0</v>
      </c>
      <c r="AB13" s="22">
        <f>IF(ISBLANK(V13),D13,V13)</f>
        <v/>
      </c>
    </row>
    <row r="14">
      <c r="A14" s="11" t="inlineStr">
        <is>
          <t>Shadow/Zombie API Discovery</t>
        </is>
      </c>
      <c r="B14" s="11" t="inlineStr">
        <is>
          <t>Coverage</t>
        </is>
      </c>
      <c r="C14" s="6" t="n">
        <v>4</v>
      </c>
      <c r="D14" s="6" t="n">
        <v>4</v>
      </c>
      <c r="E14" s="12" t="inlineStr">
        <is>
          <r>
            <t xml:space="preserve">Dedicated API Discovery product feature for surfacing undocumented/shadow APIs. Source: </t>
          </r>
          <r>
            <rPr>
              <color rgb="000563C1"/>
              <u val="single"/>
            </rPr>
            <t>invicti.com/solutions/api-discovery</t>
          </r>
        </is>
      </c>
      <c r="F14" s="11" t="inlineStr">
        <is>
          <t>paper</t>
        </is>
      </c>
      <c r="G14" s="13" t="n"/>
      <c r="H14" s="14" t="n"/>
      <c r="I14" s="15" t="n"/>
      <c r="J14" s="13" t="n"/>
      <c r="K14" s="14" t="n"/>
      <c r="L14" s="15" t="n"/>
      <c r="M14" s="13" t="n"/>
      <c r="N14" s="14" t="n"/>
      <c r="O14" s="15" t="n"/>
      <c r="P14" s="13" t="n"/>
      <c r="Q14" s="14" t="n"/>
      <c r="R14" s="15" t="n"/>
      <c r="S14" s="13" t="n"/>
      <c r="T14" s="14" t="n"/>
      <c r="U14" s="15" t="n"/>
      <c r="V14" s="13" t="n"/>
      <c r="W14" s="14" t="n"/>
      <c r="X14" s="14" t="n"/>
      <c r="Y14" s="6">
        <f>IF(ISBLANK(V14),"",V14-D14)</f>
        <v/>
      </c>
      <c r="Z14" t="inlineStr">
        <is>
          <t>shadow-api-discovery</t>
        </is>
      </c>
      <c r="AA14" t="n">
        <v>0</v>
      </c>
      <c r="AB14">
        <f>IF(ISBLANK(V14),D14,V14)</f>
        <v/>
      </c>
    </row>
    <row r="15">
      <c r="A15" s="16" t="inlineStr">
        <is>
          <t>Triage &amp; Remediation Guidance</t>
        </is>
      </c>
      <c r="B15" s="16" t="inlineStr">
        <is>
          <t>Developer Experience</t>
        </is>
      </c>
      <c r="C15" s="17" t="n">
        <v>4</v>
      </c>
      <c r="D15" s="17" t="n">
        <v>4.5</v>
      </c>
      <c r="E15" s="18" t="inlineStr">
        <is>
          <r>
            <t xml:space="preserve">AI-driven remediation guidance delivers code-level fix suggestions tailored to the specific finding, in context, rather than generic secure-coding advice. Source: </t>
          </r>
          <r>
            <rPr>
              <color rgb="000563C1"/>
              <u val="single"/>
            </rPr>
            <t>invicti.com/features/developer-guidance</t>
          </r>
        </is>
      </c>
      <c r="F15" s="16" t="inlineStr">
        <is>
          <t>paper</t>
        </is>
      </c>
      <c r="G15" s="19" t="n"/>
      <c r="H15" s="20" t="n"/>
      <c r="I15" s="21" t="n"/>
      <c r="J15" s="19" t="n"/>
      <c r="K15" s="20" t="n"/>
      <c r="L15" s="21" t="n"/>
      <c r="M15" s="19" t="n"/>
      <c r="N15" s="20" t="n"/>
      <c r="O15" s="21" t="n"/>
      <c r="P15" s="19" t="n"/>
      <c r="Q15" s="20" t="n"/>
      <c r="R15" s="21" t="n"/>
      <c r="S15" s="19" t="n"/>
      <c r="T15" s="20" t="n"/>
      <c r="U15" s="21" t="n"/>
      <c r="V15" s="19" t="n"/>
      <c r="W15" s="20" t="n"/>
      <c r="X15" s="20" t="n"/>
      <c r="Y15" s="17">
        <f>IF(ISBLANK(V15),"",V15-D15)</f>
        <v/>
      </c>
      <c r="Z15" s="22" t="inlineStr">
        <is>
          <t>triage-remediation-guidance</t>
        </is>
      </c>
      <c r="AA15" s="22" t="n">
        <v>0</v>
      </c>
      <c r="AB15" s="22">
        <f>IF(ISBLANK(V15),D15,V15)</f>
        <v/>
      </c>
    </row>
    <row r="16">
      <c r="A16" s="11" t="inlineStr">
        <is>
          <t>Vulnerability Status Management</t>
        </is>
      </c>
      <c r="B16" s="11" t="inlineStr">
        <is>
          <t>Reporting &amp; Extensibility</t>
        </is>
      </c>
      <c r="C16" s="6" t="n">
        <v>4</v>
      </c>
      <c r="D16" s="6" t="n">
        <v>4.5</v>
      </c>
      <c r="E16" s="12" t="inlineStr">
        <is>
          <r>
            <t xml:space="preserve">Full finding-lifecycle workflow: auto-assignment, audit-ready triage/remediation visibility, and automatic re-test-and-close on confirmed fix. Source: </t>
          </r>
          <r>
            <rPr>
              <color rgb="000563C1"/>
              <u val="single"/>
            </rPr>
            <t>invicti.com/features/automate-remediation-workflows</t>
          </r>
        </is>
      </c>
      <c r="F16" s="11" t="inlineStr">
        <is>
          <t>paper</t>
        </is>
      </c>
      <c r="G16" s="13" t="n"/>
      <c r="H16" s="14" t="n"/>
      <c r="I16" s="15" t="n"/>
      <c r="J16" s="13" t="n"/>
      <c r="K16" s="14" t="n"/>
      <c r="L16" s="15" t="n"/>
      <c r="M16" s="13" t="n"/>
      <c r="N16" s="14" t="n"/>
      <c r="O16" s="15" t="n"/>
      <c r="P16" s="13" t="n"/>
      <c r="Q16" s="14" t="n"/>
      <c r="R16" s="15" t="n"/>
      <c r="S16" s="13" t="n"/>
      <c r="T16" s="14" t="n"/>
      <c r="U16" s="15" t="n"/>
      <c r="V16" s="13" t="n"/>
      <c r="W16" s="14" t="n"/>
      <c r="X16" s="14" t="n"/>
      <c r="Y16" s="6">
        <f>IF(ISBLANK(V16),"",V16-D16)</f>
        <v/>
      </c>
      <c r="Z16" t="inlineStr">
        <is>
          <t>vulnerability-status-management</t>
        </is>
      </c>
      <c r="AA16" t="n">
        <v>0</v>
      </c>
      <c r="AB16">
        <f>IF(ISBLANK(V16),D16,V16)</f>
        <v/>
      </c>
    </row>
    <row r="17">
      <c r="A17" s="16" t="inlineStr">
        <is>
          <t>Automated Triage / FP-Reduction Engine</t>
        </is>
      </c>
      <c r="B17" s="16" t="inlineStr">
        <is>
          <t>Detection Quality</t>
        </is>
      </c>
      <c r="C17" s="17" t="n">
        <v>3</v>
      </c>
      <c r="D17" s="17" t="n">
        <v>5</v>
      </c>
      <c r="E17" s="18" t="inlineStr">
        <is>
          <r>
            <t xml:space="preserve">Proof-Based Scanning is itself an automated-triage mechanism -- it auto-confirms exploitability via safe re-exploitation, the strongest fit of any candidate evaluated for this criterion since it's the product's central design principle, not an add-on feature. Source: </t>
          </r>
          <r>
            <rPr>
              <color rgb="000563C1"/>
              <u val="single"/>
            </rPr>
            <t>invicti.com/features/proof-based-scanning</t>
          </r>
        </is>
      </c>
      <c r="F17" s="16" t="inlineStr">
        <is>
          <t>paper</t>
        </is>
      </c>
      <c r="G17" s="19" t="n"/>
      <c r="H17" s="20" t="n"/>
      <c r="I17" s="21" t="n"/>
      <c r="J17" s="19" t="n"/>
      <c r="K17" s="20" t="n"/>
      <c r="L17" s="21" t="n"/>
      <c r="M17" s="19" t="n"/>
      <c r="N17" s="20" t="n"/>
      <c r="O17" s="21" t="n"/>
      <c r="P17" s="19" t="n"/>
      <c r="Q17" s="20" t="n"/>
      <c r="R17" s="21" t="n"/>
      <c r="S17" s="19" t="n"/>
      <c r="T17" s="20" t="n"/>
      <c r="U17" s="21" t="n"/>
      <c r="V17" s="19" t="n"/>
      <c r="W17" s="20" t="n"/>
      <c r="X17" s="20" t="n"/>
      <c r="Y17" s="17">
        <f>IF(ISBLANK(V17),"",V17-D17)</f>
        <v/>
      </c>
      <c r="Z17" s="22" t="inlineStr">
        <is>
          <t>automated-triage-fp-reduction</t>
        </is>
      </c>
      <c r="AA17" s="22" t="n">
        <v>0</v>
      </c>
      <c r="AB17" s="22">
        <f>IF(ISBLANK(V17),D17,V17)</f>
        <v/>
      </c>
    </row>
    <row r="18">
      <c r="A18" s="11" t="inlineStr">
        <is>
          <t>Predictability of Licensing Model</t>
        </is>
      </c>
      <c r="B18" s="11" t="inlineStr">
        <is>
          <t>Deployment &amp; Data Governance</t>
        </is>
      </c>
      <c r="C18" s="6" t="n">
        <v>3</v>
      </c>
      <c r="D18" s="6" t="n">
        <v>3.5</v>
      </c>
      <c r="E18" s="12" t="inlineStr">
        <is>
          <r>
            <t xml:space="preserve">Licensed per-target (web app, API endpoint, or defined URL scope) across Standard/Premium/Enterprise tiers -- a clear, transparent axis -- but Enterprise-tier pricing is fully customized/contact-sales, and independent market data shows real-world deals commonly landing at $15,000-25,000+/year once RBAC/SCA/ASPM/on-prem/support are bundled in, well above the $4k-6k Standard-tier estimates quoted by third-party pricing aggregators (not Invicti's own published pricing page). Source: </t>
          </r>
          <r>
            <rPr>
              <color rgb="000563C1"/>
              <u val="single"/>
            </rPr>
            <t>beaglesecurity.com/blog/article/invicti-pricing</t>
          </r>
        </is>
      </c>
      <c r="F18" s="11" t="inlineStr">
        <is>
          <t>paper</t>
        </is>
      </c>
      <c r="G18" s="13" t="n"/>
      <c r="H18" s="14" t="n"/>
      <c r="I18" s="15" t="n"/>
      <c r="J18" s="13" t="n"/>
      <c r="K18" s="14" t="n"/>
      <c r="L18" s="15" t="n"/>
      <c r="M18" s="13" t="n"/>
      <c r="N18" s="14" t="n"/>
      <c r="O18" s="15" t="n"/>
      <c r="P18" s="13" t="n"/>
      <c r="Q18" s="14" t="n"/>
      <c r="R18" s="15" t="n"/>
      <c r="S18" s="13" t="n"/>
      <c r="T18" s="14" t="n"/>
      <c r="U18" s="15" t="n"/>
      <c r="V18" s="13" t="n"/>
      <c r="W18" s="14" t="n"/>
      <c r="X18" s="14" t="n"/>
      <c r="Y18" s="6">
        <f>IF(ISBLANK(V18),"",V18-D18)</f>
        <v/>
      </c>
      <c r="Z18" t="inlineStr">
        <is>
          <t>licensing-model-predictability</t>
        </is>
      </c>
      <c r="AA18" t="n">
        <v>0</v>
      </c>
      <c r="AB18">
        <f>IF(ISBLANK(V18),D18,V18)</f>
        <v/>
      </c>
    </row>
    <row r="19">
      <c r="A19" s="16" t="inlineStr">
        <is>
          <t>Multi-Tenancy &amp; Access Control</t>
        </is>
      </c>
      <c r="B19" s="16" t="inlineStr">
        <is>
          <t>Deployment &amp; Data Governance</t>
        </is>
      </c>
      <c r="C19" s="17" t="n">
        <v>3</v>
      </c>
      <c r="D19" s="17" t="n">
        <v>4</v>
      </c>
      <c r="E19" s="18" t="inlineStr">
        <is>
          <r>
            <t xml:space="preserve">RBAC and Custom Roles are explicitly listed as Enterprise-edition features, marketed as 'broader RBAC' relative to smaller competitors; a dedicated audit-log capability was not independently confirmed in public materials. Source: </t>
          </r>
          <r>
            <rPr>
              <color rgb="000563C1"/>
              <u val="single"/>
            </rPr>
            <t>appsecsanta.com/invicti</t>
          </r>
        </is>
      </c>
      <c r="F19" s="16" t="inlineStr">
        <is>
          <t>paper</t>
        </is>
      </c>
      <c r="G19" s="19" t="n"/>
      <c r="H19" s="20" t="n"/>
      <c r="I19" s="21" t="n"/>
      <c r="J19" s="19" t="n"/>
      <c r="K19" s="20" t="n"/>
      <c r="L19" s="21" t="n"/>
      <c r="M19" s="19" t="n"/>
      <c r="N19" s="20" t="n"/>
      <c r="O19" s="21" t="n"/>
      <c r="P19" s="19" t="n"/>
      <c r="Q19" s="20" t="n"/>
      <c r="R19" s="21" t="n"/>
      <c r="S19" s="19" t="n"/>
      <c r="T19" s="20" t="n"/>
      <c r="U19" s="21" t="n"/>
      <c r="V19" s="19" t="n"/>
      <c r="W19" s="20" t="n"/>
      <c r="X19" s="20" t="n"/>
      <c r="Y19" s="17">
        <f>IF(ISBLANK(V19),"",V19-D19)</f>
        <v/>
      </c>
      <c r="Z19" s="22" t="inlineStr">
        <is>
          <t>multi-tenancy-access-control</t>
        </is>
      </c>
      <c r="AA19" s="22" t="n">
        <v>0</v>
      </c>
      <c r="AB19" s="22">
        <f>IF(ISBLANK(V19),D19,V19)</f>
        <v/>
      </c>
    </row>
    <row r="20">
      <c r="A20" s="11" t="inlineStr">
        <is>
          <t>Setup &amp; Onboarding Friction</t>
        </is>
      </c>
      <c r="B20" s="11" t="inlineStr">
        <is>
          <t>Developer Experience</t>
        </is>
      </c>
      <c r="C20" s="6" t="n">
        <v>3</v>
      </c>
      <c r="D20" s="6" t="n">
        <v>3</v>
      </c>
      <c r="E20" s="12" t="inlineStr">
        <is>
          <r>
            <t xml:space="preserve">Invicti's own recommended rollout plan allocates Days 1-10 of a 30-day implementation plan to onboarding, configuring, and prioritizing the first set of web apps/APIs -- moderate enterprise-platform setup complexity, not a minutes-to-first-scan tool, consistent with its enterprise positioning. Source: </t>
          </r>
          <r>
            <rPr>
              <color rgb="000563C1"/>
              <u val="single"/>
            </rPr>
            <t>invicti.com/support/invicti-quick-start-guide</t>
          </r>
        </is>
      </c>
      <c r="F20" s="11" t="inlineStr">
        <is>
          <t>paper</t>
        </is>
      </c>
      <c r="G20" s="13" t="n"/>
      <c r="H20" s="14" t="n"/>
      <c r="I20" s="15" t="n"/>
      <c r="J20" s="13" t="n"/>
      <c r="K20" s="14" t="n"/>
      <c r="L20" s="15" t="n"/>
      <c r="M20" s="13" t="n"/>
      <c r="N20" s="14" t="n"/>
      <c r="O20" s="15" t="n"/>
      <c r="P20" s="13" t="n"/>
      <c r="Q20" s="14" t="n"/>
      <c r="R20" s="15" t="n"/>
      <c r="S20" s="13" t="n"/>
      <c r="T20" s="14" t="n"/>
      <c r="U20" s="15" t="n"/>
      <c r="V20" s="13" t="n"/>
      <c r="W20" s="14" t="n"/>
      <c r="X20" s="14" t="n"/>
      <c r="Y20" s="6">
        <f>IF(ISBLANK(V20),"",V20-D20)</f>
        <v/>
      </c>
      <c r="Z20" t="inlineStr">
        <is>
          <t>setup-onboarding-friction</t>
        </is>
      </c>
      <c r="AA20" t="n">
        <v>0</v>
      </c>
      <c r="AB20">
        <f>IF(ISBLANK(V20),D20,V20)</f>
        <v/>
      </c>
    </row>
    <row r="21">
      <c r="A21" s="16" t="inlineStr">
        <is>
          <t>Traditional Stateful Web Crawling</t>
        </is>
      </c>
      <c r="B21" s="16" t="inlineStr">
        <is>
          <t>Coverage</t>
        </is>
      </c>
      <c r="C21" s="17" t="n">
        <v>3</v>
      </c>
      <c r="D21" s="17" t="n">
        <v>4</v>
      </c>
      <c r="E21" s="18" t="inlineStr">
        <is>
          <r>
            <t xml:space="preserve">Marketed advanced crawling technology built around a full browser engine, explicitly positioned to 'crawl where other vulnerability scanners can't,' designed for full application coverage of static and dynamic elements. Source: </t>
          </r>
          <r>
            <rPr>
              <color rgb="000563C1"/>
              <u val="single"/>
            </rPr>
            <t>invicti.com/features/advanced-website-crawling-technologies</t>
          </r>
        </is>
      </c>
      <c r="F21" s="16" t="inlineStr">
        <is>
          <t>paper</t>
        </is>
      </c>
      <c r="G21" s="19" t="n"/>
      <c r="H21" s="20" t="n"/>
      <c r="I21" s="21" t="n"/>
      <c r="J21" s="19" t="n"/>
      <c r="K21" s="20" t="n"/>
      <c r="L21" s="21" t="n"/>
      <c r="M21" s="19" t="n"/>
      <c r="N21" s="20" t="n"/>
      <c r="O21" s="21" t="n"/>
      <c r="P21" s="19" t="n"/>
      <c r="Q21" s="20" t="n"/>
      <c r="R21" s="21" t="n"/>
      <c r="S21" s="19" t="n"/>
      <c r="T21" s="20" t="n"/>
      <c r="U21" s="21" t="n"/>
      <c r="V21" s="19" t="n"/>
      <c r="W21" s="20" t="n"/>
      <c r="X21" s="20" t="n"/>
      <c r="Y21" s="17">
        <f>IF(ISBLANK(V21),"",V21-D21)</f>
        <v/>
      </c>
      <c r="Z21" s="22" t="inlineStr">
        <is>
          <t>stateful-web-crawling</t>
        </is>
      </c>
      <c r="AA21" s="22" t="n">
        <v>0</v>
      </c>
      <c r="AB21" s="22">
        <f>IF(ISBLANK(V21),D21,V21)</f>
        <v/>
      </c>
    </row>
    <row r="22">
      <c r="A22" s="11" t="inlineStr">
        <is>
          <t>Vendor Security Posture</t>
        </is>
      </c>
      <c r="B22" s="11" t="inlineStr">
        <is>
          <t>Deployment &amp; Data Governance</t>
        </is>
      </c>
      <c r="C22" s="6" t="n">
        <v>3</v>
      </c>
      <c r="D22" s="6" t="n">
        <v>4.5</v>
      </c>
      <c r="E22" s="12" t="inlineStr">
        <is>
          <r>
            <t xml:space="preserve">Real, verified certifications: SOC 2 Type 2 report, ISO 27001:2022 accreditation (announced via press release, not just self-claimed), and PCI DSS -- best independently-verifiable posture of any candidate evaluated so far. Source: </t>
          </r>
          <r>
            <rPr>
              <color rgb="000563C1"/>
              <u val="single"/>
            </rPr>
            <t>invicti.com/compliance</t>
          </r>
          <r>
            <t>, invicti.com/blog/news/invicti-security-achieves-iso-27001-2022-accreditation-for-all-products</t>
          </r>
        </is>
      </c>
      <c r="F22" s="11" t="inlineStr">
        <is>
          <t>paper</t>
        </is>
      </c>
      <c r="G22" s="13" t="n"/>
      <c r="H22" s="14" t="n"/>
      <c r="I22" s="15" t="n"/>
      <c r="J22" s="13" t="n"/>
      <c r="K22" s="14" t="n"/>
      <c r="L22" s="15" t="n"/>
      <c r="M22" s="13" t="n"/>
      <c r="N22" s="14" t="n"/>
      <c r="O22" s="15" t="n"/>
      <c r="P22" s="13" t="n"/>
      <c r="Q22" s="14" t="n"/>
      <c r="R22" s="15" t="n"/>
      <c r="S22" s="13" t="n"/>
      <c r="T22" s="14" t="n"/>
      <c r="U22" s="15" t="n"/>
      <c r="V22" s="13" t="n"/>
      <c r="W22" s="14" t="n"/>
      <c r="X22" s="14" t="n"/>
      <c r="Y22" s="6">
        <f>IF(ISBLANK(V22),"",V22-D22)</f>
        <v/>
      </c>
      <c r="Z22" t="inlineStr">
        <is>
          <t>vendor-security-posture</t>
        </is>
      </c>
      <c r="AA22" t="n">
        <v>0</v>
      </c>
      <c r="AB22">
        <f>IF(ISBLANK(V22),D22,V22)</f>
        <v/>
      </c>
    </row>
    <row r="23">
      <c r="A23" s="16" t="inlineStr">
        <is>
          <t>Sensitive Financial Data Exposure Detection</t>
        </is>
      </c>
      <c r="B23" s="16" t="inlineStr">
        <is>
          <t>Detection Quality</t>
        </is>
      </c>
      <c r="C23" s="17" t="n">
        <v>2</v>
      </c>
      <c r="D23" s="17" t="n">
        <v>4</v>
      </c>
      <c r="E23" s="18" t="inlineStr">
        <is>
          <r>
            <t xml:space="preserve">Dedicated, named vulnerability checks: 'Credit Card Disclosure' and 'Social Security Number Disclosure', each with CWE/OWASP/PCI mappings -- covers card PANs and SSNs as real named detections. No dedicated bank account/routing-number check found. Source: </t>
          </r>
          <r>
            <rPr>
              <color rgb="000563C1"/>
              <u val="single"/>
            </rPr>
            <t>invicti.com/web-vulnerability-scanner/vulnerabilities/credit-card-disclosure</t>
          </r>
          <r>
            <t>, invicti.com/web-vulnerability-scanner/vulnerabilities/social-security-number-disclosure</t>
          </r>
        </is>
      </c>
      <c r="F23" s="16" t="inlineStr">
        <is>
          <t>paper</t>
        </is>
      </c>
      <c r="G23" s="19" t="n"/>
      <c r="H23" s="20" t="n"/>
      <c r="I23" s="21" t="n"/>
      <c r="J23" s="19" t="n"/>
      <c r="K23" s="20" t="n"/>
      <c r="L23" s="21" t="n"/>
      <c r="M23" s="19" t="n"/>
      <c r="N23" s="20" t="n"/>
      <c r="O23" s="21" t="n"/>
      <c r="P23" s="19" t="n"/>
      <c r="Q23" s="20" t="n"/>
      <c r="R23" s="21" t="n"/>
      <c r="S23" s="19" t="n"/>
      <c r="T23" s="20" t="n"/>
      <c r="U23" s="21" t="n"/>
      <c r="V23" s="19" t="n"/>
      <c r="W23" s="20" t="n"/>
      <c r="X23" s="20" t="n"/>
      <c r="Y23" s="17">
        <f>IF(ISBLANK(V23),"",V23-D23)</f>
        <v/>
      </c>
      <c r="Z23" s="22" t="inlineStr">
        <is>
          <t>sensitive-financial-data-exposure</t>
        </is>
      </c>
      <c r="AA23" s="22" t="n">
        <v>0</v>
      </c>
      <c r="AB23" s="22">
        <f>IF(ISBLANK(V23),D23,V23)</f>
        <v/>
      </c>
    </row>
    <row r="24">
      <c r="A24" s="11" t="inlineStr">
        <is>
          <t>ASPM Integration</t>
        </is>
      </c>
      <c r="B24" s="11" t="inlineStr">
        <is>
          <t>Reporting &amp; Extensibility</t>
        </is>
      </c>
      <c r="C24" s="6" t="n">
        <v>2</v>
      </c>
      <c r="D24" s="6" t="n">
        <v>5</v>
      </c>
      <c r="E24" s="12" t="inlineStr">
        <is>
          <r>
            <t xml:space="preserve">Invicti acquired Kondukto and now offers a dedicated ASPM product line (Invicti ASPM) -- owns an ASPM platform outright rather than merely integrating with a third-party one, the strongest possible fit for this criterion. Source: </t>
          </r>
          <r>
            <rPr>
              <color rgb="000563C1"/>
              <u val="single"/>
            </rPr>
            <t>invicti.com</t>
          </r>
          <r>
            <t>, appsecsanta.com/invicti-aspm</t>
          </r>
        </is>
      </c>
      <c r="F24" s="11" t="inlineStr">
        <is>
          <t>paper</t>
        </is>
      </c>
      <c r="G24" s="13" t="n"/>
      <c r="H24" s="14" t="n"/>
      <c r="I24" s="15" t="n"/>
      <c r="J24" s="13" t="n"/>
      <c r="K24" s="14" t="n"/>
      <c r="L24" s="15" t="n"/>
      <c r="M24" s="13" t="n"/>
      <c r="N24" s="14" t="n"/>
      <c r="O24" s="15" t="n"/>
      <c r="P24" s="13" t="n"/>
      <c r="Q24" s="14" t="n"/>
      <c r="R24" s="15" t="n"/>
      <c r="S24" s="13" t="n"/>
      <c r="T24" s="14" t="n"/>
      <c r="U24" s="15" t="n"/>
      <c r="V24" s="13" t="n"/>
      <c r="W24" s="14" t="n"/>
      <c r="X24" s="14" t="n"/>
      <c r="Y24" s="6">
        <f>IF(ISBLANK(V24),"",V24-D24)</f>
        <v/>
      </c>
      <c r="Z24" t="inlineStr">
        <is>
          <t>aspm-integration</t>
        </is>
      </c>
      <c r="AA24" t="n">
        <v>0</v>
      </c>
      <c r="AB24">
        <f>IF(ISBLANK(V24),D24,V24)</f>
        <v/>
      </c>
    </row>
    <row r="25">
      <c r="A25" s="16" t="inlineStr">
        <is>
          <t>Finding Validation / Proof-of-Exploit</t>
        </is>
      </c>
      <c r="B25" s="16" t="inlineStr">
        <is>
          <t>Detection Quality</t>
        </is>
      </c>
      <c r="C25" s="17" t="n">
        <v>2</v>
      </c>
      <c r="D25" s="17" t="n">
        <v>5</v>
      </c>
      <c r="E25" s="18" t="inlineStr">
        <is>
          <r>
            <t xml:space="preserve">Proof-Based Scanning is the product's core differentiator: automatically and safely re-exploits every detected vulnerability to produce a proof of exploit, directly matching this criterion's top anchor. Source: </t>
          </r>
          <r>
            <rPr>
              <color rgb="000563C1"/>
              <u val="single"/>
            </rPr>
            <t>invicti.com/features/proof-based-scanning</t>
          </r>
        </is>
      </c>
      <c r="F25" s="16" t="inlineStr">
        <is>
          <t>paper</t>
        </is>
      </c>
      <c r="G25" s="19" t="n"/>
      <c r="H25" s="20" t="n"/>
      <c r="I25" s="21" t="n"/>
      <c r="J25" s="19" t="n"/>
      <c r="K25" s="20" t="n"/>
      <c r="L25" s="21" t="n"/>
      <c r="M25" s="19" t="n"/>
      <c r="N25" s="20" t="n"/>
      <c r="O25" s="21" t="n"/>
      <c r="P25" s="19" t="n"/>
      <c r="Q25" s="20" t="n"/>
      <c r="R25" s="21" t="n"/>
      <c r="S25" s="19" t="n"/>
      <c r="T25" s="20" t="n"/>
      <c r="U25" s="21" t="n"/>
      <c r="V25" s="19" t="n"/>
      <c r="W25" s="20" t="n"/>
      <c r="X25" s="20" t="n"/>
      <c r="Y25" s="17">
        <f>IF(ISBLANK(V25),"",V25-D25)</f>
        <v/>
      </c>
      <c r="Z25" s="22" t="inlineStr">
        <is>
          <t>finding-validation-proof-of-exploit</t>
        </is>
      </c>
      <c r="AA25" s="22" t="n">
        <v>0</v>
      </c>
      <c r="AB25" s="22">
        <f>IF(ISBLANK(V25),D25,V25)</f>
        <v/>
      </c>
    </row>
    <row r="26">
      <c r="A26" s="11" t="inlineStr">
        <is>
          <t>Historical Risk Trend Dashboards</t>
        </is>
      </c>
      <c r="B26" s="11" t="inlineStr">
        <is>
          <t>Reporting &amp; Extensibility</t>
        </is>
      </c>
      <c r="C26" s="6" t="n">
        <v>2</v>
      </c>
      <c r="D26" s="6" t="n">
        <v>4.5</v>
      </c>
      <c r="E26" s="12" t="inlineStr">
        <is>
          <r>
            <t xml:space="preserve">Explicit executive dashboards tracking long-term performance trends and ROI of security initiatives, plus audit-ready visibility into triage/remediation/developer progress across quarters. Source: </t>
          </r>
          <r>
            <rPr>
              <color rgb="000563C1"/>
              <u val="single"/>
            </rPr>
            <t>invicti.com/features/automate-remediation-workflows</t>
          </r>
        </is>
      </c>
      <c r="F26" s="11" t="inlineStr">
        <is>
          <t>paper</t>
        </is>
      </c>
      <c r="G26" s="13" t="n"/>
      <c r="H26" s="14" t="n"/>
      <c r="I26" s="15" t="n"/>
      <c r="J26" s="13" t="n"/>
      <c r="K26" s="14" t="n"/>
      <c r="L26" s="15" t="n"/>
      <c r="M26" s="13" t="n"/>
      <c r="N26" s="14" t="n"/>
      <c r="O26" s="15" t="n"/>
      <c r="P26" s="13" t="n"/>
      <c r="Q26" s="14" t="n"/>
      <c r="R26" s="15" t="n"/>
      <c r="S26" s="13" t="n"/>
      <c r="T26" s="14" t="n"/>
      <c r="U26" s="15" t="n"/>
      <c r="V26" s="13" t="n"/>
      <c r="W26" s="14" t="n"/>
      <c r="X26" s="14" t="n"/>
      <c r="Y26" s="6">
        <f>IF(ISBLANK(V26),"",V26-D26)</f>
        <v/>
      </c>
      <c r="Z26" t="inlineStr">
        <is>
          <t>historical-risk-trend-dashboards</t>
        </is>
      </c>
      <c r="AA26" t="n">
        <v>0</v>
      </c>
      <c r="AB26">
        <f>IF(ISBLANK(V26),D26,V26)</f>
        <v/>
      </c>
    </row>
    <row r="27">
      <c r="A27" s="16" t="inlineStr">
        <is>
          <t>Reporting Quality / Exportability</t>
        </is>
      </c>
      <c r="B27" s="16" t="inlineStr">
        <is>
          <t>Reporting &amp; Extensibility</t>
        </is>
      </c>
      <c r="C27" s="17" t="n">
        <v>2</v>
      </c>
      <c r="D27" s="17" t="n">
        <v>4.5</v>
      </c>
      <c r="E27" s="18" t="inlineStr">
        <is>
          <r>
            <t xml:space="preserve">Tailored dashboards for executives, AppSec engineers, and developers; audit-ready visibility into triage/remediation progress; integrates with 50+ tools including Jira, Slack, ServiceNow. Source: </t>
          </r>
          <r>
            <rPr>
              <color rgb="000563C1"/>
              <u val="single"/>
            </rPr>
            <t>invicti.com/features/automate-remediation-workflows</t>
          </r>
        </is>
      </c>
      <c r="F27" s="16" t="inlineStr">
        <is>
          <t>paper</t>
        </is>
      </c>
      <c r="G27" s="19" t="n"/>
      <c r="H27" s="20" t="n"/>
      <c r="I27" s="21" t="n"/>
      <c r="J27" s="19" t="n"/>
      <c r="K27" s="20" t="n"/>
      <c r="L27" s="21" t="n"/>
      <c r="M27" s="19" t="n"/>
      <c r="N27" s="20" t="n"/>
      <c r="O27" s="21" t="n"/>
      <c r="P27" s="19" t="n"/>
      <c r="Q27" s="20" t="n"/>
      <c r="R27" s="21" t="n"/>
      <c r="S27" s="19" t="n"/>
      <c r="T27" s="20" t="n"/>
      <c r="U27" s="21" t="n"/>
      <c r="V27" s="19" t="n"/>
      <c r="W27" s="20" t="n"/>
      <c r="X27" s="20" t="n"/>
      <c r="Y27" s="17">
        <f>IF(ISBLANK(V27),"",V27-D27)</f>
        <v/>
      </c>
      <c r="Z27" s="22" t="inlineStr">
        <is>
          <t>reporting-exportability</t>
        </is>
      </c>
      <c r="AA27" s="22" t="n">
        <v>0</v>
      </c>
      <c r="AB27" s="22">
        <f>IF(ISBLANK(V27),D27,V27)</f>
        <v/>
      </c>
    </row>
    <row r="28">
      <c r="A28" s="11" t="inlineStr">
        <is>
          <t>Scan Performance &amp; Scalability</t>
        </is>
      </c>
      <c r="B28" s="11" t="inlineStr">
        <is>
          <t>Production Safety &amp; Operability</t>
        </is>
      </c>
      <c r="C28" s="6" t="n">
        <v>2</v>
      </c>
      <c r="D28" s="6" t="n">
        <v>3.5</v>
      </c>
      <c r="E28" s="12" t="inlineStr">
        <is>
          <r>
            <t xml:space="preserve">Revised up with real citations: configurable speed tiers (Sequential/Slow/Moderate/Fast, default Fast), plus a documented performance upgrade claiming up to 150% faster vulnerability discovery via dynamic resource allocation -- but independent commentary notes scalability challenges (resource consumption, longer scan times) when running many concurrent scanning agents across a large application portfolio. Source: </t>
          </r>
          <r>
            <rPr>
              <color rgb="000563C1"/>
              <u val="single"/>
            </rPr>
            <t>invicti.com/blog/web-security/netsparker-scan-performance-upgrades</t>
          </r>
          <r>
            <t>, docs.invicti.com/ip/target-scan-configuration</t>
          </r>
        </is>
      </c>
      <c r="F28" s="11" t="inlineStr">
        <is>
          <t>paper</t>
        </is>
      </c>
      <c r="G28" s="13" t="n"/>
      <c r="H28" s="14" t="n"/>
      <c r="I28" s="15" t="n"/>
      <c r="J28" s="13" t="n"/>
      <c r="K28" s="14" t="n"/>
      <c r="L28" s="15" t="n"/>
      <c r="M28" s="13" t="n"/>
      <c r="N28" s="14" t="n"/>
      <c r="O28" s="15" t="n"/>
      <c r="P28" s="13" t="n"/>
      <c r="Q28" s="14" t="n"/>
      <c r="R28" s="15" t="n"/>
      <c r="S28" s="13" t="n"/>
      <c r="T28" s="14" t="n"/>
      <c r="U28" s="15" t="n"/>
      <c r="V28" s="13" t="n"/>
      <c r="W28" s="14" t="n"/>
      <c r="X28" s="14" t="n"/>
      <c r="Y28" s="6">
        <f>IF(ISBLANK(V28),"",V28-D28)</f>
        <v/>
      </c>
      <c r="Z28" t="inlineStr">
        <is>
          <t>scan-performance-scalability</t>
        </is>
      </c>
      <c r="AA28" t="n">
        <v>0</v>
      </c>
      <c r="AB28">
        <f>IF(ISBLANK(V28),D28,V28)</f>
        <v/>
      </c>
    </row>
    <row r="29">
      <c r="A29" s="16" t="inlineStr">
        <is>
          <t>Ticketing &amp; Collaboration Integration</t>
        </is>
      </c>
      <c r="B29" s="16" t="inlineStr">
        <is>
          <t>Reporting &amp; Extensibility</t>
        </is>
      </c>
      <c r="C29" s="17" t="n">
        <v>2</v>
      </c>
      <c r="D29" s="17" t="n">
        <v>5</v>
      </c>
      <c r="E29" s="18" t="inlineStr">
        <is>
          <r>
            <t xml:space="preserve">Automatically confirms vulnerabilities, creates detailed tickets in Jira and other trackers, assigns to the correct developer, and re-tests/auto-closes the ticket once the fix is marked complete -- a full bidirectional lifecycle, matching this criterion's top anchor. Source: </t>
          </r>
          <r>
            <rPr>
              <color rgb="000563C1"/>
              <u val="single"/>
            </rPr>
            <t>invicti.com</t>
          </r>
          <r>
            <t xml:space="preserve"> pricing/integration materials</t>
          </r>
        </is>
      </c>
      <c r="F29" s="16" t="inlineStr">
        <is>
          <t>paper</t>
        </is>
      </c>
      <c r="G29" s="19" t="n"/>
      <c r="H29" s="20" t="n"/>
      <c r="I29" s="21" t="n"/>
      <c r="J29" s="19" t="n"/>
      <c r="K29" s="20" t="n"/>
      <c r="L29" s="21" t="n"/>
      <c r="M29" s="19" t="n"/>
      <c r="N29" s="20" t="n"/>
      <c r="O29" s="21" t="n"/>
      <c r="P29" s="19" t="n"/>
      <c r="Q29" s="20" t="n"/>
      <c r="R29" s="21" t="n"/>
      <c r="S29" s="19" t="n"/>
      <c r="T29" s="20" t="n"/>
      <c r="U29" s="21" t="n"/>
      <c r="V29" s="19" t="n"/>
      <c r="W29" s="20" t="n"/>
      <c r="X29" s="20" t="n"/>
      <c r="Y29" s="17">
        <f>IF(ISBLANK(V29),"",V29-D29)</f>
        <v/>
      </c>
      <c r="Z29" s="22" t="inlineStr">
        <is>
          <t>ticketing-collaboration-integration</t>
        </is>
      </c>
      <c r="AA29" s="22" t="n">
        <v>0</v>
      </c>
      <c r="AB29" s="22">
        <f>IF(ISBLANK(V29),D29,V29)</f>
        <v/>
      </c>
    </row>
    <row r="30">
      <c r="A30" s="11" t="inlineStr">
        <is>
          <t>Extensibility / Custom Rules</t>
        </is>
      </c>
      <c r="B30" s="11" t="inlineStr">
        <is>
          <t>Reporting &amp; Extensibility</t>
        </is>
      </c>
      <c r="C30" s="6" t="n">
        <v>1</v>
      </c>
      <c r="D30" s="6" t="n">
        <v>5</v>
      </c>
      <c r="E30" s="12" t="inlineStr">
        <is>
          <r>
            <t>Custom Security Checks via Scripting: JavaScript-based system supporting active/passive/singular/per-directory check types with helper functions (</t>
          </r>
          <r>
            <rPr>
              <color rgb="000563C1"/>
              <u val="single"/>
            </rPr>
            <t>netsparker.request</t>
          </r>
          <r>
            <t>(), logging APIs) and a public GitHub sample repo with API reference -- no vendor involvement required. Source: docs.invicti.com/ie-is/custom-security-checks-via-scripting, github.com/Invicti-Security/netsparker-custom-security-checks</t>
          </r>
        </is>
      </c>
      <c r="F30" s="11" t="inlineStr">
        <is>
          <t>paper</t>
        </is>
      </c>
      <c r="G30" s="13" t="n"/>
      <c r="H30" s="14" t="n"/>
      <c r="I30" s="15" t="n"/>
      <c r="J30" s="13" t="n"/>
      <c r="K30" s="14" t="n"/>
      <c r="L30" s="15" t="n"/>
      <c r="M30" s="13" t="n"/>
      <c r="N30" s="14" t="n"/>
      <c r="O30" s="15" t="n"/>
      <c r="P30" s="13" t="n"/>
      <c r="Q30" s="14" t="n"/>
      <c r="R30" s="15" t="n"/>
      <c r="S30" s="13" t="n"/>
      <c r="T30" s="14" t="n"/>
      <c r="U30" s="15" t="n"/>
      <c r="V30" s="13" t="n"/>
      <c r="W30" s="14" t="n"/>
      <c r="X30" s="14" t="n"/>
      <c r="Y30" s="6">
        <f>IF(ISBLANK(V30),"",V30-D30)</f>
        <v/>
      </c>
      <c r="Z30" t="inlineStr">
        <is>
          <t>extensibility-custom-rules</t>
        </is>
      </c>
      <c r="AA30" t="n">
        <v>0</v>
      </c>
      <c r="AB30">
        <f>IF(ISBLANK(V30),D30,V30)</f>
        <v/>
      </c>
    </row>
    <row r="31">
      <c r="A31" s="16" t="inlineStr">
        <is>
          <t>IDE / Local Developer Tooling</t>
        </is>
      </c>
      <c r="B31" s="16" t="inlineStr">
        <is>
          <t>Developer Experience</t>
        </is>
      </c>
      <c r="C31" s="17" t="n">
        <v>1</v>
      </c>
      <c r="D31" s="17" t="n">
        <v>3</v>
      </c>
      <c r="E31" s="18" t="inlineStr">
        <is>
          <r>
            <t xml:space="preserve">Scan CLI (Docker, invicti/scan-cli) and legacy </t>
          </r>
          <r>
            <rPr>
              <color rgb="000563C1"/>
              <u val="single"/>
            </rPr>
            <t>netsparker.exe</t>
          </r>
          <r>
            <t xml:space="preserve"> CLI runnable locally, matching rubric-3. No true IDE plugin found -- the one 'VS Code' Marketplace listing (InvictiLtd.netsparker-cloud-extension) is actually an Azure DevOps/Pipelines extension triggering remote cloud scans, not an in-editor plugin. Source: docs.invicti.com/ie-is/command-line-interface, hub.docker.com/r/invicti/scan-cli</t>
          </r>
        </is>
      </c>
      <c r="F31" s="16" t="inlineStr">
        <is>
          <t>paper</t>
        </is>
      </c>
      <c r="G31" s="19" t="n"/>
      <c r="H31" s="20" t="n"/>
      <c r="I31" s="21" t="n"/>
      <c r="J31" s="19" t="n"/>
      <c r="K31" s="20" t="n"/>
      <c r="L31" s="21" t="n"/>
      <c r="M31" s="19" t="n"/>
      <c r="N31" s="20" t="n"/>
      <c r="O31" s="21" t="n"/>
      <c r="P31" s="19" t="n"/>
      <c r="Q31" s="20" t="n"/>
      <c r="R31" s="21" t="n"/>
      <c r="S31" s="19" t="n"/>
      <c r="T31" s="20" t="n"/>
      <c r="U31" s="21" t="n"/>
      <c r="V31" s="19" t="n"/>
      <c r="W31" s="20" t="n"/>
      <c r="X31" s="20" t="n"/>
      <c r="Y31" s="17">
        <f>IF(ISBLANK(V31),"",V31-D31)</f>
        <v/>
      </c>
      <c r="Z31" s="22" t="inlineStr">
        <is>
          <t>ide-local-dev-tooling</t>
        </is>
      </c>
      <c r="AA31" s="22" t="n">
        <v>0</v>
      </c>
      <c r="AB31" s="22">
        <f>IF(ISBLANK(V31),D31,V31)</f>
        <v/>
      </c>
    </row>
    <row r="32">
      <c r="A32" s="11" t="inlineStr">
        <is>
          <t>Third-Party/Partner API Risk Assessment</t>
        </is>
      </c>
      <c r="B32" s="11" t="inlineStr">
        <is>
          <t>Coverage</t>
        </is>
      </c>
      <c r="C32" s="6" t="n">
        <v>1</v>
      </c>
      <c r="D32" s="6" t="n">
        <v>2</v>
      </c>
      <c r="E32" s="12" t="inlineStr">
        <is>
          <r>
            <t xml:space="preserve">No dedicated vendor-risk-assessment output shaping for partner-facing APIs found in public materials -- inferred absence. Source: </t>
          </r>
          <r>
            <rPr>
              <color rgb="000563C1"/>
              <u val="single"/>
            </rPr>
            <t>invicti.com/solutions/financial-services</t>
          </r>
          <r>
            <t>, docs.invicti.com/ie-is/manage-api-inventory (API Inventory filters only by source/scan date/target/type, no partner-risk categorization)</t>
          </r>
        </is>
      </c>
      <c r="F32" s="11" t="inlineStr">
        <is>
          <t>paper</t>
        </is>
      </c>
      <c r="G32" s="13" t="n"/>
      <c r="H32" s="14" t="n"/>
      <c r="I32" s="15" t="n"/>
      <c r="J32" s="13" t="n"/>
      <c r="K32" s="14" t="n"/>
      <c r="L32" s="15" t="n"/>
      <c r="M32" s="13" t="n"/>
      <c r="N32" s="14" t="n"/>
      <c r="O32" s="15" t="n"/>
      <c r="P32" s="13" t="n"/>
      <c r="Q32" s="14" t="n"/>
      <c r="R32" s="15" t="n"/>
      <c r="S32" s="13" t="n"/>
      <c r="T32" s="14" t="n"/>
      <c r="U32" s="15" t="n"/>
      <c r="V32" s="13" t="n"/>
      <c r="W32" s="14" t="n"/>
      <c r="X32" s="14" t="n"/>
      <c r="Y32" s="6">
        <f>IF(ISBLANK(V32),"",V32-D32)</f>
        <v/>
      </c>
      <c r="Z32" t="inlineStr">
        <is>
          <t>third-party-partner-api-risk</t>
        </is>
      </c>
      <c r="AA32" t="n">
        <v>0</v>
      </c>
      <c r="AB32">
        <f>IF(ISBLANK(V32),D32,V32)</f>
        <v/>
      </c>
    </row>
    <row r="33">
      <c r="A33" s="16" t="inlineStr">
        <is>
          <t>Asset Discovery &amp; Inventory Tracking</t>
        </is>
      </c>
      <c r="B33" s="16" t="inlineStr">
        <is>
          <t>Coverage</t>
        </is>
      </c>
      <c r="C33" s="17" t="n">
        <v>1</v>
      </c>
      <c r="D33" s="17" t="n">
        <v>3.5</v>
      </c>
      <c r="E33" s="18" t="inlineStr">
        <is>
          <r>
            <t xml:space="preserve">API Discovery feature plus Kondukto ASPM acquisition aggregates asset/risk data across scanners -- discovers known apps/APIs within the org's ecosystem, not confirmed as network-based unknown-asset discovery like a dedicated ASM tool. Source: </t>
          </r>
          <r>
            <rPr>
              <color rgb="000563C1"/>
              <u val="single"/>
            </rPr>
            <t>invicti.com/solutions/api-discovery</t>
          </r>
        </is>
      </c>
      <c r="F33" s="16" t="inlineStr">
        <is>
          <t>paper</t>
        </is>
      </c>
      <c r="G33" s="19" t="n"/>
      <c r="H33" s="20" t="n"/>
      <c r="I33" s="21" t="n"/>
      <c r="J33" s="19" t="n"/>
      <c r="K33" s="20" t="n"/>
      <c r="L33" s="21" t="n"/>
      <c r="M33" s="19" t="n"/>
      <c r="N33" s="20" t="n"/>
      <c r="O33" s="21" t="n"/>
      <c r="P33" s="19" t="n"/>
      <c r="Q33" s="20" t="n"/>
      <c r="R33" s="21" t="n"/>
      <c r="S33" s="19" t="n"/>
      <c r="T33" s="20" t="n"/>
      <c r="U33" s="21" t="n"/>
      <c r="V33" s="19" t="n"/>
      <c r="W33" s="20" t="n"/>
      <c r="X33" s="20" t="n"/>
      <c r="Y33" s="17">
        <f>IF(ISBLANK(V33),"",V33-D33)</f>
        <v/>
      </c>
      <c r="Z33" s="22" t="inlineStr">
        <is>
          <t>asset-discovery-inventory</t>
        </is>
      </c>
      <c r="AA33" s="22" t="n">
        <v>0</v>
      </c>
      <c r="AB33" s="22">
        <f>IF(ISBLANK(V33),D33,V33)</f>
        <v/>
      </c>
    </row>
    <row r="34">
      <c r="A34" s="11" t="inlineStr">
        <is>
          <t>SIEM/SOAR Integration</t>
        </is>
      </c>
      <c r="B34" s="11" t="inlineStr">
        <is>
          <t>Reporting &amp; Extensibility</t>
        </is>
      </c>
      <c r="C34" s="6" t="n">
        <v>1</v>
      </c>
      <c r="D34" s="6" t="n">
        <v>4</v>
      </c>
      <c r="E34" s="12" t="inlineStr">
        <is>
          <r>
            <t xml:space="preserve">Revised up with a real citation: a dedicated, unified Invicti Enterprise add-on for Splunk (supporting both Splunk Enterprise on-prem and Splunk Cloud) is published on Splunkbase -- a confirmed native SIEM integration, though no QRadar or Microsoft Sentinel integration was found. Source: </t>
          </r>
          <r>
            <rPr>
              <color rgb="000563C1"/>
              <u val="single"/>
            </rPr>
            <t>docs.invicti.com/ie-is/invicti-enterprise-addon-splunk</t>
          </r>
        </is>
      </c>
      <c r="F34" s="11" t="inlineStr">
        <is>
          <t>paper</t>
        </is>
      </c>
      <c r="G34" s="13" t="n"/>
      <c r="H34" s="14" t="n"/>
      <c r="I34" s="15" t="n"/>
      <c r="J34" s="13" t="n"/>
      <c r="K34" s="14" t="n"/>
      <c r="L34" s="15" t="n"/>
      <c r="M34" s="13" t="n"/>
      <c r="N34" s="14" t="n"/>
      <c r="O34" s="15" t="n"/>
      <c r="P34" s="13" t="n"/>
      <c r="Q34" s="14" t="n"/>
      <c r="R34" s="15" t="n"/>
      <c r="S34" s="13" t="n"/>
      <c r="T34" s="14" t="n"/>
      <c r="U34" s="15" t="n"/>
      <c r="V34" s="13" t="n"/>
      <c r="W34" s="14" t="n"/>
      <c r="X34" s="14" t="n"/>
      <c r="Y34" s="6">
        <f>IF(ISBLANK(V34),"",V34-D34)</f>
        <v/>
      </c>
      <c r="Z34" t="inlineStr">
        <is>
          <t>siem-soar-integration</t>
        </is>
      </c>
      <c r="AA34" t="n">
        <v>0</v>
      </c>
      <c r="AB34">
        <f>IF(ISBLANK(V34),D34,V34)</f>
        <v/>
      </c>
    </row>
    <row r="35">
      <c r="A35" s="16" t="inlineStr">
        <is>
          <t>Incremental / Differential Scanning</t>
        </is>
      </c>
      <c r="B35" s="16" t="inlineStr">
        <is>
          <t>Production Safety &amp; Operability</t>
        </is>
      </c>
      <c r="C35" s="17" t="n">
        <v>0</v>
      </c>
      <c r="D35" s="17" t="n">
        <v>5</v>
      </c>
      <c r="E35" s="18" t="inlineStr">
        <is>
          <r>
            <t xml:space="preserve">Named 'Incremental Scan' feature identifies new/amended URLs and attacks only pages detected since the prior scan -- automatic differential scanning, not manual scoping. Source: </t>
          </r>
          <r>
            <rPr>
              <color rgb="000563C1"/>
              <u val="single"/>
            </rPr>
            <t>docs.invicti.com/ie-is/incremental-scan-node</t>
          </r>
        </is>
      </c>
      <c r="F35" s="16" t="inlineStr">
        <is>
          <t>paper</t>
        </is>
      </c>
      <c r="G35" s="19" t="n"/>
      <c r="H35" s="20" t="n"/>
      <c r="I35" s="21" t="n"/>
      <c r="J35" s="19" t="n"/>
      <c r="K35" s="20" t="n"/>
      <c r="L35" s="21" t="n"/>
      <c r="M35" s="19" t="n"/>
      <c r="N35" s="20" t="n"/>
      <c r="O35" s="21" t="n"/>
      <c r="P35" s="19" t="n"/>
      <c r="Q35" s="20" t="n"/>
      <c r="R35" s="21" t="n"/>
      <c r="S35" s="19" t="n"/>
      <c r="T35" s="20" t="n"/>
      <c r="U35" s="21" t="n"/>
      <c r="V35" s="19" t="n"/>
      <c r="W35" s="20" t="n"/>
      <c r="X35" s="20" t="n"/>
      <c r="Y35" s="17">
        <f>IF(ISBLANK(V35),"",V35-D35)</f>
        <v/>
      </c>
      <c r="Z35" s="22" t="inlineStr">
        <is>
          <t>incremental-differential-scanning</t>
        </is>
      </c>
      <c r="AA35" s="22" t="n">
        <v>0</v>
      </c>
      <c r="AB35" s="22">
        <f>IF(ISBLANK(V35),D35,V35)</f>
        <v/>
      </c>
    </row>
    <row r="36">
      <c r="A36" s="11" t="inlineStr">
        <is>
          <t>Auto-Remediation / Auto-PR</t>
        </is>
      </c>
      <c r="B36" s="11" t="inlineStr">
        <is>
          <t>Developer Experience</t>
        </is>
      </c>
      <c r="C36" s="6" t="n">
        <v>0</v>
      </c>
      <c r="D36" s="6" t="n">
        <v>3.5</v>
      </c>
      <c r="E36" s="12" t="inlineStr">
        <is>
          <r>
            <t xml:space="preserve">Auto-assigns confirmed vulnerabilities to developers with AI-driven fix recommendations they can apply and validate directly in their workflow, but no explicit auto-opened-PR capability confirmed. Source: </t>
          </r>
          <r>
            <rPr>
              <color rgb="000563C1"/>
              <u val="single"/>
            </rPr>
            <t>invicti.com/product/ai-powered-application-security</t>
          </r>
        </is>
      </c>
      <c r="F36" s="11" t="inlineStr">
        <is>
          <t>paper</t>
        </is>
      </c>
      <c r="G36" s="13" t="n"/>
      <c r="H36" s="14" t="n"/>
      <c r="I36" s="15" t="n"/>
      <c r="J36" s="13" t="n"/>
      <c r="K36" s="14" t="n"/>
      <c r="L36" s="15" t="n"/>
      <c r="M36" s="13" t="n"/>
      <c r="N36" s="14" t="n"/>
      <c r="O36" s="15" t="n"/>
      <c r="P36" s="13" t="n"/>
      <c r="Q36" s="14" t="n"/>
      <c r="R36" s="15" t="n"/>
      <c r="S36" s="13" t="n"/>
      <c r="T36" s="14" t="n"/>
      <c r="U36" s="15" t="n"/>
      <c r="V36" s="13" t="n"/>
      <c r="W36" s="14" t="n"/>
      <c r="X36" s="14" t="n"/>
      <c r="Y36" s="6">
        <f>IF(ISBLANK(V36),"",V36-D36)</f>
        <v/>
      </c>
      <c r="Z36" t="inlineStr">
        <is>
          <t>auto-remediation-pr</t>
        </is>
      </c>
      <c r="AA36" t="n">
        <v>0</v>
      </c>
      <c r="AB36">
        <f>IF(ISBLANK(V36),D36,V36)</f>
        <v/>
      </c>
    </row>
    <row r="37" ht="20" customHeight="1">
      <c r="A37" s="23" t="inlineStr">
        <is>
          <t>Summary</t>
        </is>
      </c>
    </row>
    <row r="38">
      <c r="A38" s="24" t="inlineStr">
        <is>
          <t>Coverage</t>
        </is>
      </c>
      <c r="B38" s="24" t="n"/>
      <c r="C38" s="24">
        <f>SUMPRODUCT((B4:B36="Coverage")*C4:C36*AB4:AB36*(1-AA4:AA36))/5</f>
        <v/>
      </c>
      <c r="D38" s="24">
        <f>TEXT(C38,"0.0")&amp;"/"&amp;TEXT(E38,"0")&amp;" available points"</f>
        <v/>
      </c>
      <c r="E38" s="24">
        <f>SUMPRODUCT((B4:B36="Coverage")*C4:C36*(1-AA4:AA36))</f>
        <v/>
      </c>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row>
    <row r="39">
      <c r="A39" t="inlineStr">
        <is>
          <t>Detection Quality</t>
        </is>
      </c>
      <c r="C39">
        <f>SUMPRODUCT((B4:B36="Detection Quality")*C4:C36*AB4:AB36*(1-AA4:AA36))/5</f>
        <v/>
      </c>
      <c r="D39">
        <f>TEXT(C39,"0.0")&amp;"/"&amp;TEXT(E39,"0")&amp;" available points"</f>
        <v/>
      </c>
      <c r="E39">
        <f>SUMPRODUCT((B4:B36="Detection Quality")*C4:C36*(1-AA4:AA36))</f>
        <v/>
      </c>
    </row>
    <row r="40">
      <c r="A40" t="inlineStr">
        <is>
          <t>Production Safety &amp; Operability</t>
        </is>
      </c>
      <c r="C40">
        <f>SUMPRODUCT((B4:B36="Production Safety &amp; Operability")*C4:C36*AB4:AB36*(1-AA4:AA36))/5</f>
        <v/>
      </c>
      <c r="D40">
        <f>TEXT(C40,"0.0")&amp;"/"&amp;TEXT(E40,"0")&amp;" available points"</f>
        <v/>
      </c>
      <c r="E40">
        <f>SUMPRODUCT((B4:B36="Production Safety &amp; Operability")*C4:C36*(1-AA4:AA36))</f>
        <v/>
      </c>
    </row>
    <row r="41">
      <c r="A41" t="inlineStr">
        <is>
          <t>Developer Experience</t>
        </is>
      </c>
      <c r="C41">
        <f>SUMPRODUCT((B4:B36="Developer Experience")*C4:C36*AB4:AB36*(1-AA4:AA36))/5</f>
        <v/>
      </c>
      <c r="D41">
        <f>TEXT(C41,"0.0")&amp;"/"&amp;TEXT(E41,"0")&amp;" available points"</f>
        <v/>
      </c>
      <c r="E41">
        <f>SUMPRODUCT((B4:B36="Developer Experience")*C4:C36*(1-AA4:AA36))</f>
        <v/>
      </c>
    </row>
    <row r="42">
      <c r="A42" t="inlineStr">
        <is>
          <t>Reporting &amp; Extensibility</t>
        </is>
      </c>
      <c r="C42">
        <f>SUMPRODUCT((B4:B36="Reporting &amp; Extensibility")*C4:C36*AB4:AB36*(1-AA4:AA36))/5</f>
        <v/>
      </c>
      <c r="D42">
        <f>TEXT(C42,"0.0")&amp;"/"&amp;TEXT(E42,"0")&amp;" available points"</f>
        <v/>
      </c>
      <c r="E42">
        <f>SUMPRODUCT((B4:B36="Reporting &amp; Extensibility")*C4:C36*(1-AA4:AA36))</f>
        <v/>
      </c>
    </row>
    <row r="43">
      <c r="A43" t="inlineStr">
        <is>
          <t>Deployment &amp; Data Governance</t>
        </is>
      </c>
      <c r="C43">
        <f>SUMPRODUCT((B4:B36="Deployment &amp; Data Governance")*C4:C36*AB4:AB36*(1-AA4:AA36))/5</f>
        <v/>
      </c>
      <c r="D43">
        <f>TEXT(C43,"0.0")&amp;"/"&amp;TEXT(E43,"0")&amp;" available points"</f>
        <v/>
      </c>
      <c r="E43">
        <f>SUMPRODUCT((B4:B36="Deployment &amp; Data Governance")*C4:C36*(1-AA4:AA36))</f>
        <v/>
      </c>
    </row>
    <row r="44">
      <c r="A44" t="inlineStr">
        <is>
          <t>Weighted Total</t>
        </is>
      </c>
      <c r="C44">
        <f>SUMPRODUCT(C4:C36,AB4:AB36,(1-AA4:AA36))/5</f>
        <v/>
      </c>
      <c r="D44">
        <f>TEXT(C44,"0.0")&amp;"/"&amp;TEXT(E44,"0")&amp;" available points"</f>
        <v/>
      </c>
      <c r="E44">
        <f>SUMPRODUCT(C4:C36,(1-AA4:AA36))</f>
        <v/>
      </c>
    </row>
  </sheetData>
  <sheetProtection selectLockedCells="0" selectUnlockedCells="0" sheet="1" objects="0" insertRows="1" insertHyperlinks="1" autoFilter="1" scenarios="0" formatColumns="1" deleteColumns="1" insertColumns="1" pivotTables="1" deleteRows="1" formatCells="1" formatRows="1" sort="1"/>
  <mergeCells count="5">
    <mergeCell ref="G2:I2"/>
    <mergeCell ref="J2:L2"/>
    <mergeCell ref="P2:R2"/>
    <mergeCell ref="M2:O2"/>
    <mergeCell ref="S2:U2"/>
  </mergeCells>
  <conditionalFormatting sqref="G4">
    <cfRule type="cellIs" priority="1" operator="equal" dxfId="0">
      <formula>""</formula>
    </cfRule>
  </conditionalFormatting>
  <conditionalFormatting sqref="J4">
    <cfRule type="cellIs" priority="2" operator="equal" dxfId="0">
      <formula>""</formula>
    </cfRule>
  </conditionalFormatting>
  <conditionalFormatting sqref="M4">
    <cfRule type="cellIs" priority="3" operator="equal" dxfId="0">
      <formula>""</formula>
    </cfRule>
  </conditionalFormatting>
  <conditionalFormatting sqref="P4">
    <cfRule type="cellIs" priority="4" operator="equal" dxfId="0">
      <formula>""</formula>
    </cfRule>
  </conditionalFormatting>
  <conditionalFormatting sqref="S4">
    <cfRule type="cellIs" priority="5" operator="equal" dxfId="0">
      <formula>""</formula>
    </cfRule>
  </conditionalFormatting>
  <conditionalFormatting sqref="V4">
    <cfRule type="cellIs" priority="6" operator="equal" dxfId="0">
      <formula>""</formula>
    </cfRule>
  </conditionalFormatting>
  <conditionalFormatting sqref="G5">
    <cfRule type="cellIs" priority="7" operator="equal" dxfId="0">
      <formula>""</formula>
    </cfRule>
  </conditionalFormatting>
  <conditionalFormatting sqref="J5">
    <cfRule type="cellIs" priority="8" operator="equal" dxfId="0">
      <formula>""</formula>
    </cfRule>
  </conditionalFormatting>
  <conditionalFormatting sqref="M5">
    <cfRule type="cellIs" priority="9" operator="equal" dxfId="0">
      <formula>""</formula>
    </cfRule>
  </conditionalFormatting>
  <conditionalFormatting sqref="P5">
    <cfRule type="cellIs" priority="10" operator="equal" dxfId="0">
      <formula>""</formula>
    </cfRule>
  </conditionalFormatting>
  <conditionalFormatting sqref="S5">
    <cfRule type="cellIs" priority="11" operator="equal" dxfId="0">
      <formula>""</formula>
    </cfRule>
  </conditionalFormatting>
  <conditionalFormatting sqref="V5">
    <cfRule type="cellIs" priority="12" operator="equal" dxfId="0">
      <formula>""</formula>
    </cfRule>
  </conditionalFormatting>
  <conditionalFormatting sqref="G6">
    <cfRule type="cellIs" priority="13" operator="equal" dxfId="0">
      <formula>""</formula>
    </cfRule>
  </conditionalFormatting>
  <conditionalFormatting sqref="J6">
    <cfRule type="cellIs" priority="14" operator="equal" dxfId="0">
      <formula>""</formula>
    </cfRule>
  </conditionalFormatting>
  <conditionalFormatting sqref="M6">
    <cfRule type="cellIs" priority="15" operator="equal" dxfId="0">
      <formula>""</formula>
    </cfRule>
  </conditionalFormatting>
  <conditionalFormatting sqref="P6">
    <cfRule type="cellIs" priority="16" operator="equal" dxfId="0">
      <formula>""</formula>
    </cfRule>
  </conditionalFormatting>
  <conditionalFormatting sqref="S6">
    <cfRule type="cellIs" priority="17" operator="equal" dxfId="0">
      <formula>""</formula>
    </cfRule>
  </conditionalFormatting>
  <conditionalFormatting sqref="V6">
    <cfRule type="cellIs" priority="18" operator="equal" dxfId="0">
      <formula>""</formula>
    </cfRule>
  </conditionalFormatting>
  <conditionalFormatting sqref="G7">
    <cfRule type="cellIs" priority="19" operator="equal" dxfId="0">
      <formula>""</formula>
    </cfRule>
  </conditionalFormatting>
  <conditionalFormatting sqref="J7">
    <cfRule type="cellIs" priority="20" operator="equal" dxfId="0">
      <formula>""</formula>
    </cfRule>
  </conditionalFormatting>
  <conditionalFormatting sqref="M7">
    <cfRule type="cellIs" priority="21" operator="equal" dxfId="0">
      <formula>""</formula>
    </cfRule>
  </conditionalFormatting>
  <conditionalFormatting sqref="P7">
    <cfRule type="cellIs" priority="22" operator="equal" dxfId="0">
      <formula>""</formula>
    </cfRule>
  </conditionalFormatting>
  <conditionalFormatting sqref="S7">
    <cfRule type="cellIs" priority="23" operator="equal" dxfId="0">
      <formula>""</formula>
    </cfRule>
  </conditionalFormatting>
  <conditionalFormatting sqref="V7">
    <cfRule type="cellIs" priority="24" operator="equal" dxfId="0">
      <formula>""</formula>
    </cfRule>
  </conditionalFormatting>
  <conditionalFormatting sqref="G8">
    <cfRule type="cellIs" priority="25" operator="equal" dxfId="0">
      <formula>""</formula>
    </cfRule>
  </conditionalFormatting>
  <conditionalFormatting sqref="J8">
    <cfRule type="cellIs" priority="26" operator="equal" dxfId="0">
      <formula>""</formula>
    </cfRule>
  </conditionalFormatting>
  <conditionalFormatting sqref="M8">
    <cfRule type="cellIs" priority="27" operator="equal" dxfId="0">
      <formula>""</formula>
    </cfRule>
  </conditionalFormatting>
  <conditionalFormatting sqref="P8">
    <cfRule type="cellIs" priority="28" operator="equal" dxfId="0">
      <formula>""</formula>
    </cfRule>
  </conditionalFormatting>
  <conditionalFormatting sqref="S8">
    <cfRule type="cellIs" priority="29" operator="equal" dxfId="0">
      <formula>""</formula>
    </cfRule>
  </conditionalFormatting>
  <conditionalFormatting sqref="V8">
    <cfRule type="cellIs" priority="30" operator="equal" dxfId="0">
      <formula>""</formula>
    </cfRule>
  </conditionalFormatting>
  <conditionalFormatting sqref="G9">
    <cfRule type="cellIs" priority="31" operator="equal" dxfId="0">
      <formula>""</formula>
    </cfRule>
  </conditionalFormatting>
  <conditionalFormatting sqref="J9">
    <cfRule type="cellIs" priority="32" operator="equal" dxfId="0">
      <formula>""</formula>
    </cfRule>
  </conditionalFormatting>
  <conditionalFormatting sqref="M9">
    <cfRule type="cellIs" priority="33" operator="equal" dxfId="0">
      <formula>""</formula>
    </cfRule>
  </conditionalFormatting>
  <conditionalFormatting sqref="P9">
    <cfRule type="cellIs" priority="34" operator="equal" dxfId="0">
      <formula>""</formula>
    </cfRule>
  </conditionalFormatting>
  <conditionalFormatting sqref="S9">
    <cfRule type="cellIs" priority="35" operator="equal" dxfId="0">
      <formula>""</formula>
    </cfRule>
  </conditionalFormatting>
  <conditionalFormatting sqref="V9">
    <cfRule type="cellIs" priority="36" operator="equal" dxfId="0">
      <formula>""</formula>
    </cfRule>
  </conditionalFormatting>
  <conditionalFormatting sqref="G10">
    <cfRule type="cellIs" priority="37" operator="equal" dxfId="0">
      <formula>""</formula>
    </cfRule>
  </conditionalFormatting>
  <conditionalFormatting sqref="J10">
    <cfRule type="cellIs" priority="38" operator="equal" dxfId="0">
      <formula>""</formula>
    </cfRule>
  </conditionalFormatting>
  <conditionalFormatting sqref="M10">
    <cfRule type="cellIs" priority="39" operator="equal" dxfId="0">
      <formula>""</formula>
    </cfRule>
  </conditionalFormatting>
  <conditionalFormatting sqref="P10">
    <cfRule type="cellIs" priority="40" operator="equal" dxfId="0">
      <formula>""</formula>
    </cfRule>
  </conditionalFormatting>
  <conditionalFormatting sqref="S10">
    <cfRule type="cellIs" priority="41" operator="equal" dxfId="0">
      <formula>""</formula>
    </cfRule>
  </conditionalFormatting>
  <conditionalFormatting sqref="V10">
    <cfRule type="cellIs" priority="42" operator="equal" dxfId="0">
      <formula>""</formula>
    </cfRule>
  </conditionalFormatting>
  <conditionalFormatting sqref="G11">
    <cfRule type="cellIs" priority="43" operator="equal" dxfId="0">
      <formula>""</formula>
    </cfRule>
  </conditionalFormatting>
  <conditionalFormatting sqref="J11">
    <cfRule type="cellIs" priority="44" operator="equal" dxfId="0">
      <formula>""</formula>
    </cfRule>
  </conditionalFormatting>
  <conditionalFormatting sqref="M11">
    <cfRule type="cellIs" priority="45" operator="equal" dxfId="0">
      <formula>""</formula>
    </cfRule>
  </conditionalFormatting>
  <conditionalFormatting sqref="P11">
    <cfRule type="cellIs" priority="46" operator="equal" dxfId="0">
      <formula>""</formula>
    </cfRule>
  </conditionalFormatting>
  <conditionalFormatting sqref="S11">
    <cfRule type="cellIs" priority="47" operator="equal" dxfId="0">
      <formula>""</formula>
    </cfRule>
  </conditionalFormatting>
  <conditionalFormatting sqref="V11">
    <cfRule type="cellIs" priority="48" operator="equal" dxfId="0">
      <formula>""</formula>
    </cfRule>
  </conditionalFormatting>
  <conditionalFormatting sqref="G12">
    <cfRule type="cellIs" priority="49" operator="equal" dxfId="0">
      <formula>""</formula>
    </cfRule>
  </conditionalFormatting>
  <conditionalFormatting sqref="J12">
    <cfRule type="cellIs" priority="50" operator="equal" dxfId="0">
      <formula>""</formula>
    </cfRule>
  </conditionalFormatting>
  <conditionalFormatting sqref="M12">
    <cfRule type="cellIs" priority="51" operator="equal" dxfId="0">
      <formula>""</formula>
    </cfRule>
  </conditionalFormatting>
  <conditionalFormatting sqref="P12">
    <cfRule type="cellIs" priority="52" operator="equal" dxfId="0">
      <formula>""</formula>
    </cfRule>
  </conditionalFormatting>
  <conditionalFormatting sqref="S12">
    <cfRule type="cellIs" priority="53" operator="equal" dxfId="0">
      <formula>""</formula>
    </cfRule>
  </conditionalFormatting>
  <conditionalFormatting sqref="V12">
    <cfRule type="cellIs" priority="54" operator="equal" dxfId="0">
      <formula>""</formula>
    </cfRule>
  </conditionalFormatting>
  <conditionalFormatting sqref="G13">
    <cfRule type="cellIs" priority="55" operator="equal" dxfId="0">
      <formula>""</formula>
    </cfRule>
  </conditionalFormatting>
  <conditionalFormatting sqref="J13">
    <cfRule type="cellIs" priority="56" operator="equal" dxfId="0">
      <formula>""</formula>
    </cfRule>
  </conditionalFormatting>
  <conditionalFormatting sqref="M13">
    <cfRule type="cellIs" priority="57" operator="equal" dxfId="0">
      <formula>""</formula>
    </cfRule>
  </conditionalFormatting>
  <conditionalFormatting sqref="P13">
    <cfRule type="cellIs" priority="58" operator="equal" dxfId="0">
      <formula>""</formula>
    </cfRule>
  </conditionalFormatting>
  <conditionalFormatting sqref="S13">
    <cfRule type="cellIs" priority="59" operator="equal" dxfId="0">
      <formula>""</formula>
    </cfRule>
  </conditionalFormatting>
  <conditionalFormatting sqref="V13">
    <cfRule type="cellIs" priority="60" operator="equal" dxfId="0">
      <formula>""</formula>
    </cfRule>
  </conditionalFormatting>
  <dataValidations count="2">
    <dataValidation sqref="G4 G5 G6 G7 G8 G9 G10 G11 G12 G13 G14 G15 G16 G17 G18 G19 G20 G21 G22 G23 G24 G25 G26 G27 G28 G29 G30 G31 G32 G33 G34 G35 G36 J4 J5 J6 J7 J8 J9 J10 J11 J12 J13 J14 J15 J16 J17 J18 J19 J20 J21 J22 J23 J24 J25 J26 J27 J28 J29 J30 J31 J32 J33 J34 J35 J36 M4 M5 M6 M7 M8 M9 M10 M11 M12 M13 M14 M15 M16 M17 M18 M19 M20 M21 M22 M23 M24 M25 M26 M27 M28 M29 M30 M31 M32 M33 M34 M35 M36 P4 P5 P6 P7 P8 P9 P10 P11 P12 P13 P14 P15 P16 P17 P18 P19 P20 P21 P22 P23 P24 P25 P26 P27 P28 P29 P30 P31 P32 P33 P34 P35 P36 S4 S5 S6 S7 S8 S9 S10 S11 S12 S13 S14 S15 S16 S17 S18 S19 S20 S21 S22 S23 S24 S25 S26 S27 S28 S29 S30 S31 S32 S33 S34 S35 S36 V4 V5 V6 V7 V8 V9 V10 V11 V12 V13 V14 V15 V16 V17 V18 V19 V20 V21 V22 V23 V24 V25 V26 V27 V28 V29 V30 V31 V32 V33 V34 V35 V36" showDropDown="0" showInputMessage="0" showErrorMessage="1" allowBlank="1" errorTitle="Invalid score" error="Score must be one of: 1.0, 1.5, 2.0, 2.5, 3.0, 3.5, 4.0, 4.5, 5.0" type="list" errorStyle="stop">
      <formula1>"1.0,1.5,2.0,2.5,3.0,3.5,4.0,4.5,5.0"</formula1>
    </dataValidation>
    <dataValidation sqref="H4 H5 H6 H7 H8 H9 H10 H11 H12 H13 H14 H15 H16 H17 H18 H19 H20 H21 H22 H23 H24 H25 H26 H27 H28 H29 H30 H31 H32 H33 H34 H35 H36 K4 K5 K6 K7 K8 K9 K10 K11 K12 K13 K14 K15 K16 K17 K18 K19 K20 K21 K22 K23 K24 K25 K26 K27 K28 K29 K30 K31 K32 K33 K34 K35 K36 N4 N5 N6 N7 N8 N9 N10 N11 N12 N13 N14 N15 N16 N17 N18 N19 N20 N21 N22 N23 N24 N25 N26 N27 N28 N29 N30 N31 N32 N33 N34 N35 N36 Q4 Q5 Q6 Q7 Q8 Q9 Q10 Q11 Q12 Q13 Q14 Q15 Q16 Q17 Q18 Q19 Q20 Q21 Q22 Q23 Q24 Q25 Q26 Q27 Q28 Q29 Q30 Q31 Q32 Q33 Q34 Q35 Q36 T4 T5 T6 T7 T8 T9 T10 T11 T12 T13 T14 T15 T16 T17 T18 T19 T20 T21 T22 T23 T24 T25 T26 T27 T28 T29 T30 T31 T32 T33 T34 T35 T36" showDropDown="0" showInputMessage="0" showErrorMessage="1" allowBlank="1" errorTitle="Invalid entry" error="Value must be &quot;Yes&quot; (or left blank)." type="list" errorStyle="stop">
      <formula1>"Yes"</formula1>
    </dataValidation>
  </dataValidation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s>
  <pageMargins left="0.75" right="0.75" top="1" bottom="1" header="0.5" footer="0.5"/>
</worksheet>
</file>

<file path=xl/worksheets/sheet4.xml><?xml version="1.0" encoding="utf-8"?>
<worksheet xmlns="http://schemas.openxmlformats.org/spreadsheetml/2006/main">
  <sheetPr>
    <tabColor rgb="00A23B72"/>
    <outlinePr summaryBelow="1" summaryRight="1"/>
    <pageSetUpPr/>
  </sheetPr>
  <dimension ref="A1:AB44"/>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0" customWidth="1" min="3" max="3"/>
    <col width="14" customWidth="1" min="4" max="4"/>
    <col width="45" customWidth="1" min="5" max="5"/>
    <col width="16" customWidth="1" min="6" max="6"/>
    <col width="12" customWidth="1" min="7" max="7"/>
    <col width="12" customWidth="1" min="8" max="8"/>
    <col width="40" customWidth="1" min="9" max="9"/>
    <col width="12" customWidth="1" min="10" max="10"/>
    <col width="12" customWidth="1" min="11" max="11"/>
    <col width="40" customWidth="1" min="12" max="12"/>
    <col width="12" customWidth="1" min="13" max="13"/>
    <col width="12" customWidth="1" min="14" max="14"/>
    <col width="40" customWidth="1" min="15" max="15"/>
    <col width="12" customWidth="1" min="16" max="16"/>
    <col width="12" customWidth="1" min="17" max="17"/>
    <col width="40" customWidth="1" min="18" max="18"/>
    <col width="12" customWidth="1" min="19" max="19"/>
    <col width="12" customWidth="1" min="20" max="20"/>
    <col width="40" customWidth="1" min="21" max="21"/>
    <col width="14" customWidth="1" min="22" max="22"/>
    <col width="16" customWidth="1" min="23" max="23"/>
    <col width="18" customWidth="1" min="24" max="24"/>
    <col width="14" customWidth="1" min="25" max="25"/>
    <col hidden="1" width="13" customWidth="1" min="26" max="26"/>
    <col hidden="1" width="13" customWidth="1" min="27" max="27"/>
    <col hidden="1" width="13" customWidth="1" min="28" max="28"/>
  </cols>
  <sheetData>
    <row r="1" ht="28" customHeight="1">
      <c r="A1" s="1" t="inlineStr">
        <is>
          <t>Veracode Dynamic Analysis</t>
        </is>
      </c>
    </row>
    <row r="2" ht="24" customHeight="1">
      <c r="G2" s="3">
        <f>IF(Reviewers!B6="","Unassigned — see Reviewers tab",Reviewers!B6&amp;" - "&amp;Reviewers!C6)</f>
        <v/>
      </c>
      <c r="J2" s="3">
        <f>IF(Reviewers!B7="","Unassigned — see Reviewers tab",Reviewers!B7&amp;" - "&amp;Reviewers!C7)</f>
        <v/>
      </c>
      <c r="M2" s="3">
        <f>IF(Reviewers!B8="","Unassigned — see Reviewers tab",Reviewers!B8&amp;" - "&amp;Reviewers!C8)</f>
        <v/>
      </c>
      <c r="P2" s="3">
        <f>IF(Reviewers!B9="","Unassigned — see Reviewers tab",Reviewers!B9&amp;" - "&amp;Reviewers!C9)</f>
        <v/>
      </c>
      <c r="S2" s="3">
        <f>IF(Reviewers!B10="","Unassigned — see Reviewers tab",Reviewers!B10&amp;" - "&amp;Reviewers!C10)</f>
        <v/>
      </c>
    </row>
    <row r="3" ht="36" customHeight="1">
      <c r="A3" s="3" t="inlineStr">
        <is>
          <t>Criterion</t>
        </is>
      </c>
      <c r="B3" s="3" t="inlineStr">
        <is>
          <t>Category</t>
        </is>
      </c>
      <c r="C3" s="3" t="inlineStr">
        <is>
          <t>Weight</t>
        </is>
      </c>
      <c r="D3" s="3" t="inlineStr">
        <is>
          <t>Automated Score</t>
        </is>
      </c>
      <c r="E3" s="3" t="inlineStr">
        <is>
          <t>Automated Evidence</t>
        </is>
      </c>
      <c r="F3" s="3" t="inlineStr">
        <is>
          <t>Automated Confidence</t>
        </is>
      </c>
      <c r="G3" s="3" t="inlineStr">
        <is>
          <t>Score</t>
        </is>
      </c>
      <c r="H3" s="3" t="inlineStr">
        <is>
          <t>Dispute?</t>
        </is>
      </c>
      <c r="I3" s="3" t="inlineStr">
        <is>
          <t>Rationale</t>
        </is>
      </c>
      <c r="J3" s="3" t="inlineStr">
        <is>
          <t>Score</t>
        </is>
      </c>
      <c r="K3" s="3" t="inlineStr">
        <is>
          <t>Dispute?</t>
        </is>
      </c>
      <c r="L3" s="3" t="inlineStr">
        <is>
          <t>Rationale</t>
        </is>
      </c>
      <c r="M3" s="3" t="inlineStr">
        <is>
          <t>Score</t>
        </is>
      </c>
      <c r="N3" s="3" t="inlineStr">
        <is>
          <t>Dispute?</t>
        </is>
      </c>
      <c r="O3" s="3" t="inlineStr">
        <is>
          <t>Rationale</t>
        </is>
      </c>
      <c r="P3" s="3" t="inlineStr">
        <is>
          <t>Score</t>
        </is>
      </c>
      <c r="Q3" s="3" t="inlineStr">
        <is>
          <t>Dispute?</t>
        </is>
      </c>
      <c r="R3" s="3" t="inlineStr">
        <is>
          <t>Rationale</t>
        </is>
      </c>
      <c r="S3" s="3" t="inlineStr">
        <is>
          <t>Score</t>
        </is>
      </c>
      <c r="T3" s="3" t="inlineStr">
        <is>
          <t>Dispute?</t>
        </is>
      </c>
      <c r="U3" s="3" t="inlineStr">
        <is>
          <t>Rationale</t>
        </is>
      </c>
      <c r="V3" s="3" t="inlineStr">
        <is>
          <t>Resolved Score</t>
        </is>
      </c>
      <c r="W3" s="3" t="inlineStr">
        <is>
          <t>Resolved By</t>
        </is>
      </c>
      <c r="X3" s="3" t="inlineStr">
        <is>
          <t>Resolved Timestamp</t>
        </is>
      </c>
      <c r="Y3" s="3" t="inlineStr">
        <is>
          <t>Automated vs. Resolved Delta</t>
        </is>
      </c>
      <c r="Z3" s="3" t="inlineStr">
        <is>
          <t>_criterion_id</t>
        </is>
      </c>
      <c r="AA3" s="3" t="inlineStr">
        <is>
          <t>_pending</t>
        </is>
      </c>
      <c r="AB3" s="3" t="inlineStr">
        <is>
          <t>_effective_score</t>
        </is>
      </c>
    </row>
    <row r="4">
      <c r="A4" s="11" t="inlineStr">
        <is>
          <t>Detection Accuracy</t>
        </is>
      </c>
      <c r="B4" s="11" t="inlineStr">
        <is>
          <t>Detection Quality</t>
        </is>
      </c>
      <c r="C4" s="6" t="n">
        <v>7</v>
      </c>
      <c r="D4" s="6" t="n">
        <v>3</v>
      </c>
      <c r="E4" s="12" t="inlineStr">
        <is>
          <r>
            <t xml:space="preserve">No specific independent detection-rate benchmark found for Veracode's DAST specifically; scored from general enterprise-platform positioning and market recognition (a 9x Gartner Magic Quadrant Leader for Application Security Testing) rather than a cited accuracy number. Source: </t>
          </r>
          <r>
            <rPr>
              <color rgb="000563C1"/>
              <u val="single"/>
            </rPr>
            <t>veracode.com/products/dynamic-analysis-dast</t>
          </r>
          <r>
            <t>, securityscientist.net/blog/12-questions-and-answers-about-veracode-dast</t>
          </r>
        </is>
      </c>
      <c r="F4" s="11" t="inlineStr">
        <is>
          <t>paper</t>
        </is>
      </c>
      <c r="G4" s="13" t="n"/>
      <c r="H4" s="14" t="n"/>
      <c r="I4" s="15" t="n"/>
      <c r="J4" s="13" t="n"/>
      <c r="K4" s="14" t="n"/>
      <c r="L4" s="15" t="n"/>
      <c r="M4" s="13" t="n"/>
      <c r="N4" s="14" t="n"/>
      <c r="O4" s="15" t="n"/>
      <c r="P4" s="13" t="n"/>
      <c r="Q4" s="14" t="n"/>
      <c r="R4" s="15" t="n"/>
      <c r="S4" s="13" t="n"/>
      <c r="T4" s="14" t="n"/>
      <c r="U4" s="15" t="n"/>
      <c r="V4" s="13" t="n"/>
      <c r="W4" s="14" t="n"/>
      <c r="X4" s="14" t="n"/>
      <c r="Y4" s="6">
        <f>IF(ISBLANK(V4),"",V4-D4)</f>
        <v/>
      </c>
      <c r="Z4" t="inlineStr">
        <is>
          <t>detection-accuracy</t>
        </is>
      </c>
      <c r="AA4" t="n">
        <v>0</v>
      </c>
      <c r="AB4">
        <f>IF(ISBLANK(V4),D4,V4)</f>
        <v/>
      </c>
    </row>
    <row r="5">
      <c r="A5" s="16" t="inlineStr">
        <is>
          <t>Authentication &amp; Session Handling</t>
        </is>
      </c>
      <c r="B5" s="16" t="inlineStr">
        <is>
          <t>Coverage</t>
        </is>
      </c>
      <c r="C5" s="17" t="n">
        <v>6</v>
      </c>
      <c r="D5" s="17" t="n">
        <v>3.5</v>
      </c>
      <c r="E5" s="18" t="inlineStr">
        <is>
          <r>
            <t xml:space="preserve">Selenium-based crawl scripts handle complex authentication and multi-step workflows; form-based login, OAuth, and API tokens supported -- but the same independent review flags complex authentication flows as a real limitation area. Source: </t>
          </r>
          <r>
            <rPr>
              <color rgb="000563C1"/>
              <u val="single"/>
            </rPr>
            <t>securityscientist.net/blog/12-questions-and-answers-about-veracode-dast</t>
          </r>
        </is>
      </c>
      <c r="F5" s="16" t="inlineStr">
        <is>
          <t>paper</t>
        </is>
      </c>
      <c r="G5" s="19" t="n"/>
      <c r="H5" s="20" t="n"/>
      <c r="I5" s="21" t="n"/>
      <c r="J5" s="19" t="n"/>
      <c r="K5" s="20" t="n"/>
      <c r="L5" s="21" t="n"/>
      <c r="M5" s="19" t="n"/>
      <c r="N5" s="20" t="n"/>
      <c r="O5" s="21" t="n"/>
      <c r="P5" s="19" t="n"/>
      <c r="Q5" s="20" t="n"/>
      <c r="R5" s="21" t="n"/>
      <c r="S5" s="19" t="n"/>
      <c r="T5" s="20" t="n"/>
      <c r="U5" s="21" t="n"/>
      <c r="V5" s="19" t="n"/>
      <c r="W5" s="20" t="n"/>
      <c r="X5" s="20" t="n"/>
      <c r="Y5" s="17">
        <f>IF(ISBLANK(V5),"",V5-D5)</f>
        <v/>
      </c>
      <c r="Z5" s="22" t="inlineStr">
        <is>
          <t>auth-session-handling</t>
        </is>
      </c>
      <c r="AA5" s="22" t="n">
        <v>0</v>
      </c>
      <c r="AB5" s="22">
        <f>IF(ISBLANK(V5),D5,V5)</f>
        <v/>
      </c>
    </row>
    <row r="6">
      <c r="A6" s="11" t="inlineStr">
        <is>
          <t>Safe Production Scanning</t>
        </is>
      </c>
      <c r="B6" s="11" t="inlineStr">
        <is>
          <t>Production Safety &amp; Operability</t>
        </is>
      </c>
      <c r="C6" s="6" t="n">
        <v>6</v>
      </c>
      <c r="D6" s="6" t="n">
        <v>3</v>
      </c>
      <c r="E6" s="12" t="inlineStr">
        <is>
          <r>
            <t xml:space="preserve">Internal Scanning Management (ISM) enables scanning behind firewalls and in staging environments, but no explicit passive-only/rate-limited safe-mode claim for live production traffic found. Source: </t>
          </r>
          <r>
            <rPr>
              <color rgb="000563C1"/>
              <u val="single"/>
            </rPr>
            <t>veracode.com/products/dynamic-analysis-dast</t>
          </r>
        </is>
      </c>
      <c r="F6" s="11" t="inlineStr">
        <is>
          <t>paper</t>
        </is>
      </c>
      <c r="G6" s="13" t="n"/>
      <c r="H6" s="14" t="n"/>
      <c r="I6" s="15" t="n"/>
      <c r="J6" s="13" t="n"/>
      <c r="K6" s="14" t="n"/>
      <c r="L6" s="15" t="n"/>
      <c r="M6" s="13" t="n"/>
      <c r="N6" s="14" t="n"/>
      <c r="O6" s="15" t="n"/>
      <c r="P6" s="13" t="n"/>
      <c r="Q6" s="14" t="n"/>
      <c r="R6" s="15" t="n"/>
      <c r="S6" s="13" t="n"/>
      <c r="T6" s="14" t="n"/>
      <c r="U6" s="15" t="n"/>
      <c r="V6" s="13" t="n"/>
      <c r="W6" s="14" t="n"/>
      <c r="X6" s="14" t="n"/>
      <c r="Y6" s="6">
        <f>IF(ISBLANK(V6),"",V6-D6)</f>
        <v/>
      </c>
      <c r="Z6" t="inlineStr">
        <is>
          <t>safe-prod-scanning</t>
        </is>
      </c>
      <c r="AA6" t="n">
        <v>0</v>
      </c>
      <c r="AB6">
        <f>IF(ISBLANK(V6),D6,V6)</f>
        <v/>
      </c>
    </row>
    <row r="7">
      <c r="A7" s="16" t="inlineStr">
        <is>
          <t>Legacy Application &amp; Protocol Support</t>
        </is>
      </c>
      <c r="B7" s="16" t="inlineStr">
        <is>
          <t>Coverage</t>
        </is>
      </c>
      <c r="C7" s="17" t="n">
        <v>5</v>
      </c>
      <c r="D7" s="17" t="n">
        <v>3</v>
      </c>
      <c r="E7" s="18" t="inlineStr">
        <is>
          <r>
            <t xml:space="preserve">Veracode DAST scans SOAP APIs after translating the WSDL specification into a Veracode-supported spec format (Postman Collection/OpenAPI) -- real coverage with real translation friction, matching rubric level 3 rather than full parity. Modern JS SPA support came via the 2022 Crashtest Security acquisition, underscoring legacy-stack support is comparatively less native. Source: </t>
          </r>
          <r>
            <rPr>
              <color rgb="000563C1"/>
              <u val="single"/>
            </rPr>
            <t>appsecsanta.com/veracode-dast</t>
          </r>
          <r>
            <t>, docs.veracode.com/r/Scan_APIs</t>
          </r>
        </is>
      </c>
      <c r="F7" s="16" t="inlineStr">
        <is>
          <t>paper</t>
        </is>
      </c>
      <c r="G7" s="19" t="n"/>
      <c r="H7" s="20" t="n"/>
      <c r="I7" s="21" t="n"/>
      <c r="J7" s="19" t="n"/>
      <c r="K7" s="20" t="n"/>
      <c r="L7" s="21" t="n"/>
      <c r="M7" s="19" t="n"/>
      <c r="N7" s="20" t="n"/>
      <c r="O7" s="21" t="n"/>
      <c r="P7" s="19" t="n"/>
      <c r="Q7" s="20" t="n"/>
      <c r="R7" s="21" t="n"/>
      <c r="S7" s="19" t="n"/>
      <c r="T7" s="20" t="n"/>
      <c r="U7" s="21" t="n"/>
      <c r="V7" s="19" t="n"/>
      <c r="W7" s="20" t="n"/>
      <c r="X7" s="20" t="n"/>
      <c r="Y7" s="17">
        <f>IF(ISBLANK(V7),"",V7-D7)</f>
        <v/>
      </c>
      <c r="Z7" s="22" t="inlineStr">
        <is>
          <t>legacy-app-protocol-support</t>
        </is>
      </c>
      <c r="AA7" s="22" t="n">
        <v>0</v>
      </c>
      <c r="AB7" s="22">
        <f>IF(ISBLANK(V7),D7,V7)</f>
        <v/>
      </c>
    </row>
    <row r="8">
      <c r="A8" s="11" t="inlineStr">
        <is>
          <t>API/SPA Coverage</t>
        </is>
      </c>
      <c r="B8" s="11" t="inlineStr">
        <is>
          <t>Coverage</t>
        </is>
      </c>
      <c r="C8" s="6" t="n">
        <v>5</v>
      </c>
      <c r="D8" s="6" t="n">
        <v>3.5</v>
      </c>
      <c r="E8" s="12" t="inlineStr">
        <is>
          <r>
            <t xml:space="preserve">REST/SOAP/GraphQL with OpenAPI import; SPA support (React/Angular/Vue) added via 2022 Crashtest Security acquisition with full browser rendering and DOM-based XSS detection -- but independent review notes DAST coverage is 'limited for SPAs, GraphQL APIs, and complex authentication flows' compared to specialized alternatives. Source: </t>
          </r>
          <r>
            <rPr>
              <color rgb="000563C1"/>
              <u val="single"/>
            </rPr>
            <t>docs.veracode.com/r/Scan_web_applications_and_APIs</t>
          </r>
          <r>
            <t>, securityscientist.net/blog/12-questions-and-answers-about-veracode-dast</t>
          </r>
        </is>
      </c>
      <c r="F8" s="11" t="inlineStr">
        <is>
          <t>paper</t>
        </is>
      </c>
      <c r="G8" s="13" t="n"/>
      <c r="H8" s="14" t="n"/>
      <c r="I8" s="15" t="n"/>
      <c r="J8" s="13" t="n"/>
      <c r="K8" s="14" t="n"/>
      <c r="L8" s="15" t="n"/>
      <c r="M8" s="13" t="n"/>
      <c r="N8" s="14" t="n"/>
      <c r="O8" s="15" t="n"/>
      <c r="P8" s="13" t="n"/>
      <c r="Q8" s="14" t="n"/>
      <c r="R8" s="15" t="n"/>
      <c r="S8" s="13" t="n"/>
      <c r="T8" s="14" t="n"/>
      <c r="U8" s="15" t="n"/>
      <c r="V8" s="13" t="n"/>
      <c r="W8" s="14" t="n"/>
      <c r="X8" s="14" t="n"/>
      <c r="Y8" s="6">
        <f>IF(ISBLANK(V8),"",V8-D8)</f>
        <v/>
      </c>
      <c r="Z8" t="inlineStr">
        <is>
          <t>api-spa-coverage</t>
        </is>
      </c>
      <c r="AA8" t="n">
        <v>0</v>
      </c>
      <c r="AB8">
        <f>IF(ISBLANK(V8),D8,V8)</f>
        <v/>
      </c>
    </row>
    <row r="9">
      <c r="A9" s="16" t="inlineStr">
        <is>
          <t>CI/CD-Native Fit</t>
        </is>
      </c>
      <c r="B9" s="16" t="inlineStr">
        <is>
          <t>Production Safety &amp; Operability</t>
        </is>
      </c>
      <c r="C9" s="17" t="n">
        <v>5</v>
      </c>
      <c r="D9" s="17" t="n">
        <v>4</v>
      </c>
      <c r="E9" s="18" t="inlineStr">
        <is>
          <r>
            <t xml:space="preserve">Explicit CI/CD pipeline integration supporting daily/weekly automated scans across development stages; Pipeline Scan output format for automation. Source: </t>
          </r>
          <r>
            <rPr>
              <color rgb="000563C1"/>
              <u val="single"/>
            </rPr>
            <t>veracode.com/products/dynamic-analysis-dast</t>
          </r>
        </is>
      </c>
      <c r="F9" s="16" t="inlineStr">
        <is>
          <t>paper</t>
        </is>
      </c>
      <c r="G9" s="19" t="n"/>
      <c r="H9" s="20" t="n"/>
      <c r="I9" s="21" t="n"/>
      <c r="J9" s="19" t="n"/>
      <c r="K9" s="20" t="n"/>
      <c r="L9" s="21" t="n"/>
      <c r="M9" s="19" t="n"/>
      <c r="N9" s="20" t="n"/>
      <c r="O9" s="21" t="n"/>
      <c r="P9" s="19" t="n"/>
      <c r="Q9" s="20" t="n"/>
      <c r="R9" s="21" t="n"/>
      <c r="S9" s="19" t="n"/>
      <c r="T9" s="20" t="n"/>
      <c r="U9" s="21" t="n"/>
      <c r="V9" s="19" t="n"/>
      <c r="W9" s="20" t="n"/>
      <c r="X9" s="20" t="n"/>
      <c r="Y9" s="17">
        <f>IF(ISBLANK(V9),"",V9-D9)</f>
        <v/>
      </c>
      <c r="Z9" s="22" t="inlineStr">
        <is>
          <t>cicd-native-fit</t>
        </is>
      </c>
      <c r="AA9" s="22" t="n">
        <v>0</v>
      </c>
      <c r="AB9" s="22">
        <f>IF(ISBLANK(V9),D9,V9)</f>
        <v/>
      </c>
    </row>
    <row r="10">
      <c r="A10" s="11" t="inlineStr">
        <is>
          <t>Deployment Model &amp; Data Residency</t>
        </is>
      </c>
      <c r="B10" s="11" t="inlineStr">
        <is>
          <t>Deployment &amp; Data Governance</t>
        </is>
      </c>
      <c r="C10" s="6" t="n">
        <v>5</v>
      </c>
      <c r="D10" s="6" t="n">
        <v>3</v>
      </c>
      <c r="E10" s="12" t="inlineStr">
        <is>
          <r>
            <t xml:space="preserve">Internal Scanning Management (ISM) gives some on-prem-adjacent control for behind-firewall/staging scanning, but the core platform is SaaS-first (cloud-based); no full on-prem or air-gapped deployment option found like Invicti/ZAP offer. Source: </t>
          </r>
          <r>
            <rPr>
              <color rgb="000563C1"/>
              <u val="single"/>
            </rPr>
            <t>veracode.com/products/dynamic-analysis-dast</t>
          </r>
        </is>
      </c>
      <c r="F10" s="11" t="inlineStr">
        <is>
          <t>paper</t>
        </is>
      </c>
      <c r="G10" s="13" t="n"/>
      <c r="H10" s="14" t="n"/>
      <c r="I10" s="15" t="n"/>
      <c r="J10" s="13" t="n"/>
      <c r="K10" s="14" t="n"/>
      <c r="L10" s="15" t="n"/>
      <c r="M10" s="13" t="n"/>
      <c r="N10" s="14" t="n"/>
      <c r="O10" s="15" t="n"/>
      <c r="P10" s="13" t="n"/>
      <c r="Q10" s="14" t="n"/>
      <c r="R10" s="15" t="n"/>
      <c r="S10" s="13" t="n"/>
      <c r="T10" s="14" t="n"/>
      <c r="U10" s="15" t="n"/>
      <c r="V10" s="13" t="n"/>
      <c r="W10" s="14" t="n"/>
      <c r="X10" s="14" t="n"/>
      <c r="Y10" s="6">
        <f>IF(ISBLANK(V10),"",V10-D10)</f>
        <v/>
      </c>
      <c r="Z10" t="inlineStr">
        <is>
          <t>deployment-model-data-residency</t>
        </is>
      </c>
      <c r="AA10" t="n">
        <v>0</v>
      </c>
      <c r="AB10">
        <f>IF(ISBLANK(V10),D10,V10)</f>
        <v/>
      </c>
    </row>
    <row r="11">
      <c r="A11" s="16" t="inlineStr">
        <is>
          <t>Shadow/Zombie API Discovery</t>
        </is>
      </c>
      <c r="B11" s="16" t="inlineStr">
        <is>
          <t>Coverage</t>
        </is>
      </c>
      <c r="C11" s="17" t="n">
        <v>4</v>
      </c>
      <c r="D11" s="17" t="n">
        <v>4</v>
      </c>
      <c r="E11" s="18" t="inlineStr">
        <is>
          <r>
            <t xml:space="preserve">Veracode EASM's Deep Discovery scan specifically surfaces unknown/unmanaged internet-facing assets and endpoints beyond a predefined list. Verified by independent gap-check after the original research missed this branded product. Source: </t>
          </r>
          <r>
            <rPr>
              <color rgb="000563C1"/>
              <u val="single"/>
            </rPr>
            <t>veracode.com/veracode-external-attack-surface-management</t>
          </r>
          <r>
            <t>, docs.veracode.com/r/Discover_your_attack_surface</t>
          </r>
        </is>
      </c>
      <c r="F11" s="16" t="inlineStr">
        <is>
          <t>paper</t>
        </is>
      </c>
      <c r="G11" s="19" t="n"/>
      <c r="H11" s="20" t="n"/>
      <c r="I11" s="21" t="n"/>
      <c r="J11" s="19" t="n"/>
      <c r="K11" s="20" t="n"/>
      <c r="L11" s="21" t="n"/>
      <c r="M11" s="19" t="n"/>
      <c r="N11" s="20" t="n"/>
      <c r="O11" s="21" t="n"/>
      <c r="P11" s="19" t="n"/>
      <c r="Q11" s="20" t="n"/>
      <c r="R11" s="21" t="n"/>
      <c r="S11" s="19" t="n"/>
      <c r="T11" s="20" t="n"/>
      <c r="U11" s="21" t="n"/>
      <c r="V11" s="19" t="n"/>
      <c r="W11" s="20" t="n"/>
      <c r="X11" s="20" t="n"/>
      <c r="Y11" s="17">
        <f>IF(ISBLANK(V11),"",V11-D11)</f>
        <v/>
      </c>
      <c r="Z11" s="22" t="inlineStr">
        <is>
          <t>shadow-api-discovery</t>
        </is>
      </c>
      <c r="AA11" s="22" t="n">
        <v>0</v>
      </c>
      <c r="AB11" s="22">
        <f>IF(ISBLANK(V11),D11,V11)</f>
        <v/>
      </c>
    </row>
    <row r="12">
      <c r="A12" s="11" t="inlineStr">
        <is>
          <t>Business Logic &amp; Workflow Vulnerability Detection</t>
        </is>
      </c>
      <c r="B12" s="11" t="inlineStr">
        <is>
          <t>Coverage</t>
        </is>
      </c>
      <c r="C12" s="6" t="n">
        <v>4</v>
      </c>
      <c r="D12" s="6" t="n">
        <v>3</v>
      </c>
      <c r="E12" s="12" t="inlineStr">
        <is>
          <r>
            <t xml:space="preserve">Explicitly claims to probe endpoints and entire workflows to validate business logic is developed securely, detecting business-logic vulnerabilities SAST misses -- real but generic capability, not purpose-built like a dedicated multi-role authorization-testing engine. Source: </t>
          </r>
          <r>
            <rPr>
              <color rgb="000563C1"/>
              <u val="single"/>
            </rPr>
            <t>veracode.com/products/dynamic-analysis-dast</t>
          </r>
        </is>
      </c>
      <c r="F12" s="11" t="inlineStr">
        <is>
          <t>paper</t>
        </is>
      </c>
      <c r="G12" s="13" t="n"/>
      <c r="H12" s="14" t="n"/>
      <c r="I12" s="15" t="n"/>
      <c r="J12" s="13" t="n"/>
      <c r="K12" s="14" t="n"/>
      <c r="L12" s="15" t="n"/>
      <c r="M12" s="13" t="n"/>
      <c r="N12" s="14" t="n"/>
      <c r="O12" s="15" t="n"/>
      <c r="P12" s="13" t="n"/>
      <c r="Q12" s="14" t="n"/>
      <c r="R12" s="15" t="n"/>
      <c r="S12" s="13" t="n"/>
      <c r="T12" s="14" t="n"/>
      <c r="U12" s="15" t="n"/>
      <c r="V12" s="13" t="n"/>
      <c r="W12" s="14" t="n"/>
      <c r="X12" s="14" t="n"/>
      <c r="Y12" s="6">
        <f>IF(ISBLANK(V12),"",V12-D12)</f>
        <v/>
      </c>
      <c r="Z12" t="inlineStr">
        <is>
          <t>business-logic-workflow-detection</t>
        </is>
      </c>
      <c r="AA12" t="n">
        <v>0</v>
      </c>
      <c r="AB12">
        <f>IF(ISBLANK(V12),D12,V12)</f>
        <v/>
      </c>
    </row>
    <row r="13">
      <c r="A13" s="16" t="inlineStr">
        <is>
          <t>Compliance &amp; Standards Mapping</t>
        </is>
      </c>
      <c r="B13" s="16" t="inlineStr">
        <is>
          <t>Detection Quality</t>
        </is>
      </c>
      <c r="C13" s="17" t="n">
        <v>4</v>
      </c>
      <c r="D13" s="17" t="n">
        <v>4.5</v>
      </c>
      <c r="E13" s="18" t="inlineStr">
        <is>
          <r>
            <t xml:space="preserve">Unified compliance reporting across SAST/DAST/SCA on one platform; real FedRAMP Moderate Authority to Operate (ATO) granted March 2022, a government-grade authorization uncommon among DAST vendors. Source: </t>
          </r>
          <r>
            <rPr>
              <color rgb="000563C1"/>
              <u val="single"/>
            </rPr>
            <t>veracode.com/application-security-compliance</t>
          </r>
          <r>
            <t>, veracode.com/about/certifications</t>
          </r>
        </is>
      </c>
      <c r="F13" s="16" t="inlineStr">
        <is>
          <t>paper</t>
        </is>
      </c>
      <c r="G13" s="19" t="n"/>
      <c r="H13" s="20" t="n"/>
      <c r="I13" s="21" t="n"/>
      <c r="J13" s="19" t="n"/>
      <c r="K13" s="20" t="n"/>
      <c r="L13" s="21" t="n"/>
      <c r="M13" s="19" t="n"/>
      <c r="N13" s="20" t="n"/>
      <c r="O13" s="21" t="n"/>
      <c r="P13" s="19" t="n"/>
      <c r="Q13" s="20" t="n"/>
      <c r="R13" s="21" t="n"/>
      <c r="S13" s="19" t="n"/>
      <c r="T13" s="20" t="n"/>
      <c r="U13" s="21" t="n"/>
      <c r="V13" s="19" t="n"/>
      <c r="W13" s="20" t="n"/>
      <c r="X13" s="20" t="n"/>
      <c r="Y13" s="17">
        <f>IF(ISBLANK(V13),"",V13-D13)</f>
        <v/>
      </c>
      <c r="Z13" s="22" t="inlineStr">
        <is>
          <t>compliance-standards-mapping</t>
        </is>
      </c>
      <c r="AA13" s="22" t="n">
        <v>0</v>
      </c>
      <c r="AB13" s="22">
        <f>IF(ISBLANK(V13),D13,V13)</f>
        <v/>
      </c>
    </row>
    <row r="14">
      <c r="A14" s="11" t="inlineStr">
        <is>
          <t>Noise / False-Positive Rate</t>
        </is>
      </c>
      <c r="B14" s="11" t="inlineStr">
        <is>
          <t>Detection Quality</t>
        </is>
      </c>
      <c r="C14" s="6" t="n">
        <v>4</v>
      </c>
      <c r="D14" s="6" t="n">
        <v>4.5</v>
      </c>
      <c r="E14" s="12" t="inlineStr">
        <is>
          <r>
            <t xml:space="preserve">VENDOR CLAIM, not independently verified: &lt;5% false-positive rate, with real-time actionable feedback. Source: </t>
          </r>
          <r>
            <rPr>
              <color rgb="000563C1"/>
              <u val="single"/>
            </rPr>
            <t>veracode.com/products/dynamic-analysis-dast</t>
          </r>
        </is>
      </c>
      <c r="F14" s="11" t="inlineStr">
        <is>
          <t>paper</t>
        </is>
      </c>
      <c r="G14" s="13" t="n"/>
      <c r="H14" s="14" t="n"/>
      <c r="I14" s="15" t="n"/>
      <c r="J14" s="13" t="n"/>
      <c r="K14" s="14" t="n"/>
      <c r="L14" s="15" t="n"/>
      <c r="M14" s="13" t="n"/>
      <c r="N14" s="14" t="n"/>
      <c r="O14" s="15" t="n"/>
      <c r="P14" s="13" t="n"/>
      <c r="Q14" s="14" t="n"/>
      <c r="R14" s="15" t="n"/>
      <c r="S14" s="13" t="n"/>
      <c r="T14" s="14" t="n"/>
      <c r="U14" s="15" t="n"/>
      <c r="V14" s="13" t="n"/>
      <c r="W14" s="14" t="n"/>
      <c r="X14" s="14" t="n"/>
      <c r="Y14" s="6">
        <f>IF(ISBLANK(V14),"",V14-D14)</f>
        <v/>
      </c>
      <c r="Z14" t="inlineStr">
        <is>
          <t>false-positive-rate</t>
        </is>
      </c>
      <c r="AA14" t="n">
        <v>0</v>
      </c>
      <c r="AB14">
        <f>IF(ISBLANK(V14),D14,V14)</f>
        <v/>
      </c>
    </row>
    <row r="15">
      <c r="A15" s="16" t="inlineStr">
        <is>
          <t>Triage &amp; Remediation Guidance</t>
        </is>
      </c>
      <c r="B15" s="16" t="inlineStr">
        <is>
          <t>Developer Experience</t>
        </is>
      </c>
      <c r="C15" s="17" t="n">
        <v>4</v>
      </c>
      <c r="D15" s="17" t="n">
        <v>4</v>
      </c>
      <c r="E15" s="18" t="inlineStr">
        <is>
          <r>
            <t xml:space="preserve">Line-of-code-specific findings identification with remediation instructions; VeraCustomTriage community tool generates a custom remediation plan (.xlsx) with internal workflow links, wiki references, and code snippets. Source: </t>
          </r>
          <r>
            <rPr>
              <color rgb="000563C1"/>
              <u val="single"/>
            </rPr>
            <t>docs.veracode.com/r/Veracode_Integrations</t>
          </r>
          <r>
            <t>, github.com/veracode/Veracode-Community-Projects</t>
          </r>
        </is>
      </c>
      <c r="F15" s="16" t="inlineStr">
        <is>
          <t>paper</t>
        </is>
      </c>
      <c r="G15" s="19" t="n"/>
      <c r="H15" s="20" t="n"/>
      <c r="I15" s="21" t="n"/>
      <c r="J15" s="19" t="n"/>
      <c r="K15" s="20" t="n"/>
      <c r="L15" s="21" t="n"/>
      <c r="M15" s="19" t="n"/>
      <c r="N15" s="20" t="n"/>
      <c r="O15" s="21" t="n"/>
      <c r="P15" s="19" t="n"/>
      <c r="Q15" s="20" t="n"/>
      <c r="R15" s="21" t="n"/>
      <c r="S15" s="19" t="n"/>
      <c r="T15" s="20" t="n"/>
      <c r="U15" s="21" t="n"/>
      <c r="V15" s="19" t="n"/>
      <c r="W15" s="20" t="n"/>
      <c r="X15" s="20" t="n"/>
      <c r="Y15" s="17">
        <f>IF(ISBLANK(V15),"",V15-D15)</f>
        <v/>
      </c>
      <c r="Z15" s="22" t="inlineStr">
        <is>
          <t>triage-remediation-guidance</t>
        </is>
      </c>
      <c r="AA15" s="22" t="n">
        <v>0</v>
      </c>
      <c r="AB15" s="22">
        <f>IF(ISBLANK(V15),D15,V15)</f>
        <v/>
      </c>
    </row>
    <row r="16">
      <c r="A16" s="11" t="inlineStr">
        <is>
          <t>Vulnerability Status Management</t>
        </is>
      </c>
      <c r="B16" s="11" t="inlineStr">
        <is>
          <t>Reporting &amp; Extensibility</t>
        </is>
      </c>
      <c r="C16" s="6" t="n">
        <v>4</v>
      </c>
      <c r="D16" s="6" t="n">
        <v>4</v>
      </c>
      <c r="E16" s="12" t="inlineStr">
        <is>
          <r>
            <t xml:space="preserve">Unified flaw tracking and policy management across the whole SAST/DAST/SCA platform; Jira integration auto-closes tickets on verified fix or documented mitigation. Source: </t>
          </r>
          <r>
            <rPr>
              <color rgb="000563C1"/>
              <u val="single"/>
            </rPr>
            <t>veracode.com/products/dynamic-analysis-dast</t>
          </r>
          <r>
            <t>, marketplace.atlassian.com/apps/1218497/veracode-integration-for-jira-cloud</t>
          </r>
        </is>
      </c>
      <c r="F16" s="11" t="inlineStr">
        <is>
          <t>paper</t>
        </is>
      </c>
      <c r="G16" s="13" t="n"/>
      <c r="H16" s="14" t="n"/>
      <c r="I16" s="15" t="n"/>
      <c r="J16" s="13" t="n"/>
      <c r="K16" s="14" t="n"/>
      <c r="L16" s="15" t="n"/>
      <c r="M16" s="13" t="n"/>
      <c r="N16" s="14" t="n"/>
      <c r="O16" s="15" t="n"/>
      <c r="P16" s="13" t="n"/>
      <c r="Q16" s="14" t="n"/>
      <c r="R16" s="15" t="n"/>
      <c r="S16" s="13" t="n"/>
      <c r="T16" s="14" t="n"/>
      <c r="U16" s="15" t="n"/>
      <c r="V16" s="13" t="n"/>
      <c r="W16" s="14" t="n"/>
      <c r="X16" s="14" t="n"/>
      <c r="Y16" s="6">
        <f>IF(ISBLANK(V16),"",V16-D16)</f>
        <v/>
      </c>
      <c r="Z16" t="inlineStr">
        <is>
          <t>vulnerability-status-management</t>
        </is>
      </c>
      <c r="AA16" t="n">
        <v>0</v>
      </c>
      <c r="AB16">
        <f>IF(ISBLANK(V16),D16,V16)</f>
        <v/>
      </c>
    </row>
    <row r="17">
      <c r="A17" s="16" t="inlineStr">
        <is>
          <t>Automated Triage / FP-Reduction Engine</t>
        </is>
      </c>
      <c r="B17" s="16" t="inlineStr">
        <is>
          <t>Detection Quality</t>
        </is>
      </c>
      <c r="C17" s="17" t="n">
        <v>3</v>
      </c>
      <c r="D17" s="17" t="n">
        <v>2.5</v>
      </c>
      <c r="E17" s="18" t="inlineStr">
        <is>
          <r>
            <t xml:space="preserve">Jira integration auto-closes tickets when findings are verified fixed or a mitigation is documented -- real workflow automation, but not an active PoC-generation or historical-learning FP-reduction engine. Source: </t>
          </r>
          <r>
            <rPr>
              <color rgb="000563C1"/>
              <u val="single"/>
            </rPr>
            <t>marketplace.atlassian.com/apps/1218497/veracode-integration-for-jira-cloud</t>
          </r>
        </is>
      </c>
      <c r="F17" s="16" t="inlineStr">
        <is>
          <t>paper</t>
        </is>
      </c>
      <c r="G17" s="19" t="n"/>
      <c r="H17" s="20" t="n"/>
      <c r="I17" s="21" t="n"/>
      <c r="J17" s="19" t="n"/>
      <c r="K17" s="20" t="n"/>
      <c r="L17" s="21" t="n"/>
      <c r="M17" s="19" t="n"/>
      <c r="N17" s="20" t="n"/>
      <c r="O17" s="21" t="n"/>
      <c r="P17" s="19" t="n"/>
      <c r="Q17" s="20" t="n"/>
      <c r="R17" s="21" t="n"/>
      <c r="S17" s="19" t="n"/>
      <c r="T17" s="20" t="n"/>
      <c r="U17" s="21" t="n"/>
      <c r="V17" s="19" t="n"/>
      <c r="W17" s="20" t="n"/>
      <c r="X17" s="20" t="n"/>
      <c r="Y17" s="17">
        <f>IF(ISBLANK(V17),"",V17-D17)</f>
        <v/>
      </c>
      <c r="Z17" s="22" t="inlineStr">
        <is>
          <t>automated-triage-fp-reduction</t>
        </is>
      </c>
      <c r="AA17" s="22" t="n">
        <v>0</v>
      </c>
      <c r="AB17" s="22">
        <f>IF(ISBLANK(V17),D17,V17)</f>
        <v/>
      </c>
    </row>
    <row r="18">
      <c r="A18" s="11" t="inlineStr">
        <is>
          <t>Multi-Tenancy &amp; Access Control</t>
        </is>
      </c>
      <c r="B18" s="11" t="inlineStr">
        <is>
          <t>Deployment &amp; Data Governance</t>
        </is>
      </c>
      <c r="C18" s="6" t="n">
        <v>3</v>
      </c>
      <c r="D18" s="6" t="n">
        <v>4</v>
      </c>
      <c r="E18" s="12" t="inlineStr">
        <is>
          <r>
            <t xml:space="preserve">Real, documented RBAC with named platform roles: Security Lead (cross-team visibility), Workspace Administrator (SCA workspace access management), Mitigation Approver (accepts/rejects proposed mitigations alongside Reviewer/Security Lead). Verified by independent gap-check after the original research missed this. Audit-log specifics not independently confirmed, so not scored higher. Source: </t>
          </r>
          <r>
            <rPr>
              <color rgb="000563C1"/>
              <u val="single"/>
            </rPr>
            <t>docs.veracode.com/r/c_role_permissions</t>
          </r>
          <r>
            <t>, docs.veracode.com/r/Manage_workspace_access</t>
          </r>
        </is>
      </c>
      <c r="F18" s="11" t="inlineStr">
        <is>
          <t>paper</t>
        </is>
      </c>
      <c r="G18" s="13" t="n"/>
      <c r="H18" s="14" t="n"/>
      <c r="I18" s="15" t="n"/>
      <c r="J18" s="13" t="n"/>
      <c r="K18" s="14" t="n"/>
      <c r="L18" s="15" t="n"/>
      <c r="M18" s="13" t="n"/>
      <c r="N18" s="14" t="n"/>
      <c r="O18" s="15" t="n"/>
      <c r="P18" s="13" t="n"/>
      <c r="Q18" s="14" t="n"/>
      <c r="R18" s="15" t="n"/>
      <c r="S18" s="13" t="n"/>
      <c r="T18" s="14" t="n"/>
      <c r="U18" s="15" t="n"/>
      <c r="V18" s="13" t="n"/>
      <c r="W18" s="14" t="n"/>
      <c r="X18" s="14" t="n"/>
      <c r="Y18" s="6">
        <f>IF(ISBLANK(V18),"",V18-D18)</f>
        <v/>
      </c>
      <c r="Z18" t="inlineStr">
        <is>
          <t>multi-tenancy-access-control</t>
        </is>
      </c>
      <c r="AA18" t="n">
        <v>0</v>
      </c>
      <c r="AB18">
        <f>IF(ISBLANK(V18),D18,V18)</f>
        <v/>
      </c>
    </row>
    <row r="19">
      <c r="A19" s="16" t="inlineStr">
        <is>
          <t>Setup &amp; Onboarding Friction</t>
        </is>
      </c>
      <c r="B19" s="16" t="inlineStr">
        <is>
          <t>Developer Experience</t>
        </is>
      </c>
      <c r="C19" s="17" t="n">
        <v>3</v>
      </c>
      <c r="D19" s="17" t="n">
        <v>4</v>
      </c>
      <c r="E19" s="18" t="inlineStr">
        <is>
          <r>
            <t xml:space="preserve">Veracode DAST Essentials' 'Quick Scan' delivers results in as early as 5 minutes after a no-credit-card free-trial signup and target creation. Full authenticated/API scan setup is closer to ~30 minutes per Veracode's own quickstart learning path -- splits the rubric between minutes (basic scan) and under an hour (fully configured). Source: </t>
          </r>
          <r>
            <rPr>
              <color rgb="000563C1"/>
              <u val="single"/>
            </rPr>
            <t>veracode.com/blog/getting-started-guide-veracode-dast-essentials</t>
          </r>
          <r>
            <t>, docs.veracode.com/r/Dynamic_Analysis_onboarding</t>
          </r>
        </is>
      </c>
      <c r="F19" s="16" t="inlineStr">
        <is>
          <t>paper</t>
        </is>
      </c>
      <c r="G19" s="19" t="n"/>
      <c r="H19" s="20" t="n"/>
      <c r="I19" s="21" t="n"/>
      <c r="J19" s="19" t="n"/>
      <c r="K19" s="20" t="n"/>
      <c r="L19" s="21" t="n"/>
      <c r="M19" s="19" t="n"/>
      <c r="N19" s="20" t="n"/>
      <c r="O19" s="21" t="n"/>
      <c r="P19" s="19" t="n"/>
      <c r="Q19" s="20" t="n"/>
      <c r="R19" s="21" t="n"/>
      <c r="S19" s="19" t="n"/>
      <c r="T19" s="20" t="n"/>
      <c r="U19" s="21" t="n"/>
      <c r="V19" s="19" t="n"/>
      <c r="W19" s="20" t="n"/>
      <c r="X19" s="20" t="n"/>
      <c r="Y19" s="17">
        <f>IF(ISBLANK(V19),"",V19-D19)</f>
        <v/>
      </c>
      <c r="Z19" s="22" t="inlineStr">
        <is>
          <t>setup-onboarding-friction</t>
        </is>
      </c>
      <c r="AA19" s="22" t="n">
        <v>0</v>
      </c>
      <c r="AB19" s="22">
        <f>IF(ISBLANK(V19),D19,V19)</f>
        <v/>
      </c>
    </row>
    <row r="20">
      <c r="A20" s="11" t="inlineStr">
        <is>
          <t>Predictability of Licensing Model</t>
        </is>
      </c>
      <c r="B20" s="11" t="inlineStr">
        <is>
          <t>Deployment &amp; Data Governance</t>
        </is>
      </c>
      <c r="C20" s="6" t="n">
        <v>3</v>
      </c>
      <c r="D20" s="6" t="n">
        <v>3</v>
      </c>
      <c r="E20" s="12" t="inlineStr">
        <is>
          <r>
            <t xml:space="preserve">Licensed per 'application profile' (a clear, technical-footprint-aligned axis -- decomposing into microservices means paying per profile), but pricing is fully custom-quoted, not published. Third-party estimates suggest $500-1,200 per application at enterprise scale, $50k-300k annually depending on scan-method mix and contract term -- similar transparency profile to Invicti/StackHawk's enterprise tiers. Source: </t>
          </r>
          <r>
            <rPr>
              <color rgb="000563C1"/>
              <u val="single"/>
            </rPr>
            <t>vendr.com/marketplace/veracode</t>
          </r>
          <r>
            <t>, underdefense.com/industry-pricings/veracode-pricing-2026-ultimate-guide-for-security-products</t>
          </r>
        </is>
      </c>
      <c r="F20" s="11" t="inlineStr">
        <is>
          <t>paper</t>
        </is>
      </c>
      <c r="G20" s="13" t="n"/>
      <c r="H20" s="14" t="n"/>
      <c r="I20" s="15" t="n"/>
      <c r="J20" s="13" t="n"/>
      <c r="K20" s="14" t="n"/>
      <c r="L20" s="15" t="n"/>
      <c r="M20" s="13" t="n"/>
      <c r="N20" s="14" t="n"/>
      <c r="O20" s="15" t="n"/>
      <c r="P20" s="13" t="n"/>
      <c r="Q20" s="14" t="n"/>
      <c r="R20" s="15" t="n"/>
      <c r="S20" s="13" t="n"/>
      <c r="T20" s="14" t="n"/>
      <c r="U20" s="15" t="n"/>
      <c r="V20" s="13" t="n"/>
      <c r="W20" s="14" t="n"/>
      <c r="X20" s="14" t="n"/>
      <c r="Y20" s="6">
        <f>IF(ISBLANK(V20),"",V20-D20)</f>
        <v/>
      </c>
      <c r="Z20" t="inlineStr">
        <is>
          <t>licensing-model-predictability</t>
        </is>
      </c>
      <c r="AA20" t="n">
        <v>0</v>
      </c>
      <c r="AB20">
        <f>IF(ISBLANK(V20),D20,V20)</f>
        <v/>
      </c>
    </row>
    <row r="21">
      <c r="A21" s="16" t="inlineStr">
        <is>
          <t>Traditional Stateful Web Crawling</t>
        </is>
      </c>
      <c r="B21" s="16" t="inlineStr">
        <is>
          <t>Coverage</t>
        </is>
      </c>
      <c r="C21" s="17" t="n">
        <v>3</v>
      </c>
      <c r="D21" s="17" t="n">
        <v>4</v>
      </c>
      <c r="E21" s="18" t="inlineStr">
        <is>
          <r>
            <t xml:space="preserve">Selenium-based crawl scripts are explicitly built to handle complex, multi-step workflows -- a real, specific signal for stateful multi-page crawling depth. Source: </t>
          </r>
          <r>
            <rPr>
              <color rgb="000563C1"/>
              <u val="single"/>
            </rPr>
            <t>docs.veracode.com/r/Veracode_Integrations</t>
          </r>
          <r>
            <t>, securityscientist.net/blog/12-questions-and-answers-about-veracode-dast</t>
          </r>
        </is>
      </c>
      <c r="F21" s="16" t="inlineStr">
        <is>
          <t>paper</t>
        </is>
      </c>
      <c r="G21" s="19" t="n"/>
      <c r="H21" s="20" t="n"/>
      <c r="I21" s="21" t="n"/>
      <c r="J21" s="19" t="n"/>
      <c r="K21" s="20" t="n"/>
      <c r="L21" s="21" t="n"/>
      <c r="M21" s="19" t="n"/>
      <c r="N21" s="20" t="n"/>
      <c r="O21" s="21" t="n"/>
      <c r="P21" s="19" t="n"/>
      <c r="Q21" s="20" t="n"/>
      <c r="R21" s="21" t="n"/>
      <c r="S21" s="19" t="n"/>
      <c r="T21" s="20" t="n"/>
      <c r="U21" s="21" t="n"/>
      <c r="V21" s="19" t="n"/>
      <c r="W21" s="20" t="n"/>
      <c r="X21" s="20" t="n"/>
      <c r="Y21" s="17">
        <f>IF(ISBLANK(V21),"",V21-D21)</f>
        <v/>
      </c>
      <c r="Z21" s="22" t="inlineStr">
        <is>
          <t>stateful-web-crawling</t>
        </is>
      </c>
      <c r="AA21" s="22" t="n">
        <v>0</v>
      </c>
      <c r="AB21" s="22">
        <f>IF(ISBLANK(V21),D21,V21)</f>
        <v/>
      </c>
    </row>
    <row r="22">
      <c r="A22" s="11" t="inlineStr">
        <is>
          <t>Vendor Security Posture</t>
        </is>
      </c>
      <c r="B22" s="11" t="inlineStr">
        <is>
          <t>Deployment &amp; Data Governance</t>
        </is>
      </c>
      <c r="C22" s="6" t="n">
        <v>3</v>
      </c>
      <c r="D22" s="6" t="n">
        <v>5</v>
      </c>
      <c r="E22" s="12" t="inlineStr">
        <is>
          <r>
            <t xml:space="preserve">SOC 2 Type II attestation, ISO 27001 standard support, and a real FedRAMP Moderate Authority to Operate (ATO) granted March 2022 -- a government-grade authorization none of the other four candidates in this evaluation have; the best-documented and most independently-verifiable posture evaluated so far. Source: </t>
          </r>
          <r>
            <rPr>
              <color rgb="000563C1"/>
              <u val="single"/>
            </rPr>
            <t>veracode.com/about/certifications</t>
          </r>
        </is>
      </c>
      <c r="F22" s="11" t="inlineStr">
        <is>
          <t>paper</t>
        </is>
      </c>
      <c r="G22" s="13" t="n"/>
      <c r="H22" s="14" t="n"/>
      <c r="I22" s="15" t="n"/>
      <c r="J22" s="13" t="n"/>
      <c r="K22" s="14" t="n"/>
      <c r="L22" s="15" t="n"/>
      <c r="M22" s="13" t="n"/>
      <c r="N22" s="14" t="n"/>
      <c r="O22" s="15" t="n"/>
      <c r="P22" s="13" t="n"/>
      <c r="Q22" s="14" t="n"/>
      <c r="R22" s="15" t="n"/>
      <c r="S22" s="13" t="n"/>
      <c r="T22" s="14" t="n"/>
      <c r="U22" s="15" t="n"/>
      <c r="V22" s="13" t="n"/>
      <c r="W22" s="14" t="n"/>
      <c r="X22" s="14" t="n"/>
      <c r="Y22" s="6">
        <f>IF(ISBLANK(V22),"",V22-D22)</f>
        <v/>
      </c>
      <c r="Z22" t="inlineStr">
        <is>
          <t>vendor-security-posture</t>
        </is>
      </c>
      <c r="AA22" t="n">
        <v>0</v>
      </c>
      <c r="AB22">
        <f>IF(ISBLANK(V22),D22,V22)</f>
        <v/>
      </c>
    </row>
    <row r="23">
      <c r="A23" s="16" t="inlineStr">
        <is>
          <t>ASPM Integration</t>
        </is>
      </c>
      <c r="B23" s="16" t="inlineStr">
        <is>
          <t>Reporting &amp; Extensibility</t>
        </is>
      </c>
      <c r="C23" s="17" t="n">
        <v>2</v>
      </c>
      <c r="D23" s="17" t="n">
        <v>5</v>
      </c>
      <c r="E23" s="18" t="inlineStr">
        <is>
          <r>
            <t xml:space="preserve">Veracode Risk Manager (VRM) is a real, named ASPM product -- not a third-party integration but an owned platform -- aggregating findings from 50+ sources across code, cloud, and infrastructure, with a confirmed Wiz integration. Veracode was named a Leader in the 2025 IDC MarketScape for ASPM (third-party analyst validation). Same reasoning already applied to Invicti's Kondukto-owned ASPM (5/5). Verified by independent gap-check after the original research missed this branded product. Source: </t>
          </r>
          <r>
            <rPr>
              <color rgb="000563C1"/>
              <u val="single"/>
            </rPr>
            <t>veracode.com/blog/introducing-veracode-risk-manager-new-chapter-aspm-built-scale</t>
          </r>
          <r>
            <t>, veracode.com/blog/aspm-landscape-idc-marketscape, veracode.com/blog/veracode-risk-manager-now-with-wiz</t>
          </r>
        </is>
      </c>
      <c r="F23" s="16" t="inlineStr">
        <is>
          <t>paper</t>
        </is>
      </c>
      <c r="G23" s="19" t="n"/>
      <c r="H23" s="20" t="n"/>
      <c r="I23" s="21" t="n"/>
      <c r="J23" s="19" t="n"/>
      <c r="K23" s="20" t="n"/>
      <c r="L23" s="21" t="n"/>
      <c r="M23" s="19" t="n"/>
      <c r="N23" s="20" t="n"/>
      <c r="O23" s="21" t="n"/>
      <c r="P23" s="19" t="n"/>
      <c r="Q23" s="20" t="n"/>
      <c r="R23" s="21" t="n"/>
      <c r="S23" s="19" t="n"/>
      <c r="T23" s="20" t="n"/>
      <c r="U23" s="21" t="n"/>
      <c r="V23" s="19" t="n"/>
      <c r="W23" s="20" t="n"/>
      <c r="X23" s="20" t="n"/>
      <c r="Y23" s="17">
        <f>IF(ISBLANK(V23),"",V23-D23)</f>
        <v/>
      </c>
      <c r="Z23" s="22" t="inlineStr">
        <is>
          <t>aspm-integration</t>
        </is>
      </c>
      <c r="AA23" s="22" t="n">
        <v>0</v>
      </c>
      <c r="AB23" s="22">
        <f>IF(ISBLANK(V23),D23,V23)</f>
        <v/>
      </c>
    </row>
    <row r="24">
      <c r="A24" s="11" t="inlineStr">
        <is>
          <t>Historical Risk Trend Dashboards</t>
        </is>
      </c>
      <c r="B24" s="11" t="inlineStr">
        <is>
          <t>Reporting &amp; Extensibility</t>
        </is>
      </c>
      <c r="C24" s="6" t="n">
        <v>2</v>
      </c>
      <c r="D24" s="6" t="n">
        <v>4.5</v>
      </c>
      <c r="E24" s="12" t="inlineStr">
        <is>
          <r>
            <t xml:space="preserve">Veracode Analytics provides pre-built executive dashboards tracking MTTR (Mean Time to Resolve) and remediation trends, with a single centralized view of security metrics across assessments. Verified by independent gap-check after the original research missed this branded product. Source: </t>
          </r>
          <r>
            <rPr>
              <color rgb="000563C1"/>
              <u val="single"/>
            </rPr>
            <t>veracode.com/analytics</t>
          </r>
          <r>
            <t>, veracode.com/blog/using-mean-time-to-resolve-mttr-effectively</t>
          </r>
        </is>
      </c>
      <c r="F24" s="11" t="inlineStr">
        <is>
          <t>paper</t>
        </is>
      </c>
      <c r="G24" s="13" t="n"/>
      <c r="H24" s="14" t="n"/>
      <c r="I24" s="15" t="n"/>
      <c r="J24" s="13" t="n"/>
      <c r="K24" s="14" t="n"/>
      <c r="L24" s="15" t="n"/>
      <c r="M24" s="13" t="n"/>
      <c r="N24" s="14" t="n"/>
      <c r="O24" s="15" t="n"/>
      <c r="P24" s="13" t="n"/>
      <c r="Q24" s="14" t="n"/>
      <c r="R24" s="15" t="n"/>
      <c r="S24" s="13" t="n"/>
      <c r="T24" s="14" t="n"/>
      <c r="U24" s="15" t="n"/>
      <c r="V24" s="13" t="n"/>
      <c r="W24" s="14" t="n"/>
      <c r="X24" s="14" t="n"/>
      <c r="Y24" s="6">
        <f>IF(ISBLANK(V24),"",V24-D24)</f>
        <v/>
      </c>
      <c r="Z24" t="inlineStr">
        <is>
          <t>historical-risk-trend-dashboards</t>
        </is>
      </c>
      <c r="AA24" t="n">
        <v>0</v>
      </c>
      <c r="AB24">
        <f>IF(ISBLANK(V24),D24,V24)</f>
        <v/>
      </c>
    </row>
    <row r="25">
      <c r="A25" s="16" t="inlineStr">
        <is>
          <t>Sensitive Financial Data Exposure Detection</t>
        </is>
      </c>
      <c r="B25" s="16" t="inlineStr">
        <is>
          <t>Detection Quality</t>
        </is>
      </c>
      <c r="C25" s="17" t="n">
        <v>2</v>
      </c>
      <c r="D25" s="17" t="n">
        <v>2</v>
      </c>
      <c r="E25" s="18" t="inlineStr">
        <is>
          <r>
            <t xml:space="preserve">No dedicated financial-data-pattern (account/routing number, card PAN) detection capability found -- inferred absence. Source: </t>
          </r>
          <r>
            <rPr>
              <color rgb="000563C1"/>
              <u val="single"/>
            </rPr>
            <t>docs.veracode.com/r/c_review_cwe</t>
          </r>
          <r>
            <t xml:space="preserve"> (only generic sensitive-data-exposure CWEs found, CWE-200/201/359 family; no dedicated financial-pattern detector for PANs/routing numbers/SSNs)</t>
          </r>
        </is>
      </c>
      <c r="F25" s="16" t="inlineStr">
        <is>
          <t>paper</t>
        </is>
      </c>
      <c r="G25" s="19" t="n"/>
      <c r="H25" s="20" t="n"/>
      <c r="I25" s="21" t="n"/>
      <c r="J25" s="19" t="n"/>
      <c r="K25" s="20" t="n"/>
      <c r="L25" s="21" t="n"/>
      <c r="M25" s="19" t="n"/>
      <c r="N25" s="20" t="n"/>
      <c r="O25" s="21" t="n"/>
      <c r="P25" s="19" t="n"/>
      <c r="Q25" s="20" t="n"/>
      <c r="R25" s="21" t="n"/>
      <c r="S25" s="19" t="n"/>
      <c r="T25" s="20" t="n"/>
      <c r="U25" s="21" t="n"/>
      <c r="V25" s="19" t="n"/>
      <c r="W25" s="20" t="n"/>
      <c r="X25" s="20" t="n"/>
      <c r="Y25" s="17">
        <f>IF(ISBLANK(V25),"",V25-D25)</f>
        <v/>
      </c>
      <c r="Z25" s="22" t="inlineStr">
        <is>
          <t>sensitive-financial-data-exposure</t>
        </is>
      </c>
      <c r="AA25" s="22" t="n">
        <v>0</v>
      </c>
      <c r="AB25" s="22">
        <f>IF(ISBLANK(V25),D25,V25)</f>
        <v/>
      </c>
    </row>
    <row r="26">
      <c r="A26" s="11" t="inlineStr">
        <is>
          <t>Finding Validation / Proof-of-Exploit</t>
        </is>
      </c>
      <c r="B26" s="11" t="inlineStr">
        <is>
          <t>Detection Quality</t>
        </is>
      </c>
      <c r="C26" s="6" t="n">
        <v>2</v>
      </c>
      <c r="D26" s="6" t="n">
        <v>4</v>
      </c>
      <c r="E26" s="12" t="inlineStr">
        <is>
          <r>
            <t xml:space="preserve">Revised up with a real citation: clicking a finding in Veracode DAST Essentials surfaces the exact payload used for the exploit, and findings can be independently replicated via a generated curl request -- a concrete proof-of-exploit mechanism comparable to other proof-based scanners, not just an inherent dynamic-testing advantage over static pattern matching. Source: </t>
          </r>
          <r>
            <rPr>
              <color rgb="000563C1"/>
              <u val="single"/>
            </rPr>
            <t>veracode.com/blog/getting-started-guide-veracode-dast-essentials</t>
          </r>
        </is>
      </c>
      <c r="F26" s="11" t="inlineStr">
        <is>
          <t>paper</t>
        </is>
      </c>
      <c r="G26" s="13" t="n"/>
      <c r="H26" s="14" t="n"/>
      <c r="I26" s="15" t="n"/>
      <c r="J26" s="13" t="n"/>
      <c r="K26" s="14" t="n"/>
      <c r="L26" s="15" t="n"/>
      <c r="M26" s="13" t="n"/>
      <c r="N26" s="14" t="n"/>
      <c r="O26" s="15" t="n"/>
      <c r="P26" s="13" t="n"/>
      <c r="Q26" s="14" t="n"/>
      <c r="R26" s="15" t="n"/>
      <c r="S26" s="13" t="n"/>
      <c r="T26" s="14" t="n"/>
      <c r="U26" s="15" t="n"/>
      <c r="V26" s="13" t="n"/>
      <c r="W26" s="14" t="n"/>
      <c r="X26" s="14" t="n"/>
      <c r="Y26" s="6">
        <f>IF(ISBLANK(V26),"",V26-D26)</f>
        <v/>
      </c>
      <c r="Z26" t="inlineStr">
        <is>
          <t>finding-validation-proof-of-exploit</t>
        </is>
      </c>
      <c r="AA26" t="n">
        <v>0</v>
      </c>
      <c r="AB26">
        <f>IF(ISBLANK(V26),D26,V26)</f>
        <v/>
      </c>
    </row>
    <row r="27">
      <c r="A27" s="16" t="inlineStr">
        <is>
          <t>Reporting Quality / Exportability</t>
        </is>
      </c>
      <c r="B27" s="16" t="inlineStr">
        <is>
          <t>Reporting &amp; Extensibility</t>
        </is>
      </c>
      <c r="C27" s="17" t="n">
        <v>2</v>
      </c>
      <c r="D27" s="17" t="n">
        <v>4</v>
      </c>
      <c r="E27" s="18" t="inlineStr">
        <is>
          <r>
            <t xml:space="preserve">Unified reporting across SAST/DAST/SCA on one platform, plus custom .xlsx remediation-plan export via community tooling. Source: </t>
          </r>
          <r>
            <rPr>
              <color rgb="000563C1"/>
              <u val="single"/>
            </rPr>
            <t>github.com/veracode/Veracode-Community-Projects</t>
          </r>
        </is>
      </c>
      <c r="F27" s="16" t="inlineStr">
        <is>
          <t>paper</t>
        </is>
      </c>
      <c r="G27" s="19" t="n"/>
      <c r="H27" s="20" t="n"/>
      <c r="I27" s="21" t="n"/>
      <c r="J27" s="19" t="n"/>
      <c r="K27" s="20" t="n"/>
      <c r="L27" s="21" t="n"/>
      <c r="M27" s="19" t="n"/>
      <c r="N27" s="20" t="n"/>
      <c r="O27" s="21" t="n"/>
      <c r="P27" s="19" t="n"/>
      <c r="Q27" s="20" t="n"/>
      <c r="R27" s="21" t="n"/>
      <c r="S27" s="19" t="n"/>
      <c r="T27" s="20" t="n"/>
      <c r="U27" s="21" t="n"/>
      <c r="V27" s="19" t="n"/>
      <c r="W27" s="20" t="n"/>
      <c r="X27" s="20" t="n"/>
      <c r="Y27" s="17">
        <f>IF(ISBLANK(V27),"",V27-D27)</f>
        <v/>
      </c>
      <c r="Z27" s="22" t="inlineStr">
        <is>
          <t>reporting-exportability</t>
        </is>
      </c>
      <c r="AA27" s="22" t="n">
        <v>0</v>
      </c>
      <c r="AB27" s="22">
        <f>IF(ISBLANK(V27),D27,V27)</f>
        <v/>
      </c>
    </row>
    <row r="28">
      <c r="A28" s="11" t="inlineStr">
        <is>
          <t>Scan Performance &amp; Scalability</t>
        </is>
      </c>
      <c r="B28" s="11" t="inlineStr">
        <is>
          <t>Production Safety &amp; Operability</t>
        </is>
      </c>
      <c r="C28" s="6" t="n">
        <v>2</v>
      </c>
      <c r="D28" s="6" t="n">
        <v>4</v>
      </c>
      <c r="E28" s="12" t="inlineStr">
        <is>
          <r>
            <t xml:space="preserve">Explicitly marketed as scaling to hundreds of web applications, enterprise-grade positioning. Source: </t>
          </r>
          <r>
            <rPr>
              <color rgb="000563C1"/>
              <u val="single"/>
            </rPr>
            <t>veracode.com/products/dynamic-analysis-dast</t>
          </r>
        </is>
      </c>
      <c r="F28" s="11" t="inlineStr">
        <is>
          <t>paper</t>
        </is>
      </c>
      <c r="G28" s="13" t="n"/>
      <c r="H28" s="14" t="n"/>
      <c r="I28" s="15" t="n"/>
      <c r="J28" s="13" t="n"/>
      <c r="K28" s="14" t="n"/>
      <c r="L28" s="15" t="n"/>
      <c r="M28" s="13" t="n"/>
      <c r="N28" s="14" t="n"/>
      <c r="O28" s="15" t="n"/>
      <c r="P28" s="13" t="n"/>
      <c r="Q28" s="14" t="n"/>
      <c r="R28" s="15" t="n"/>
      <c r="S28" s="13" t="n"/>
      <c r="T28" s="14" t="n"/>
      <c r="U28" s="15" t="n"/>
      <c r="V28" s="13" t="n"/>
      <c r="W28" s="14" t="n"/>
      <c r="X28" s="14" t="n"/>
      <c r="Y28" s="6">
        <f>IF(ISBLANK(V28),"",V28-D28)</f>
        <v/>
      </c>
      <c r="Z28" t="inlineStr">
        <is>
          <t>scan-performance-scalability</t>
        </is>
      </c>
      <c r="AA28" t="n">
        <v>0</v>
      </c>
      <c r="AB28">
        <f>IF(ISBLANK(V28),D28,V28)</f>
        <v/>
      </c>
    </row>
    <row r="29">
      <c r="A29" s="16" t="inlineStr">
        <is>
          <t>Ticketing &amp; Collaboration Integration</t>
        </is>
      </c>
      <c r="B29" s="16" t="inlineStr">
        <is>
          <t>Reporting &amp; Extensibility</t>
        </is>
      </c>
      <c r="C29" s="17" t="n">
        <v>2</v>
      </c>
      <c r="D29" s="17" t="n">
        <v>4.5</v>
      </c>
      <c r="E29" s="18" t="inlineStr">
        <is>
          <r>
            <t xml:space="preserve">Jira Cloud integration automatically creates a defect for each new security finding with no manual steps, and closes tickets when findings are verified fixed or a mitigation is documented -- a full bidirectional lifecycle. Source: </t>
          </r>
          <r>
            <rPr>
              <color rgb="000563C1"/>
              <u val="single"/>
            </rPr>
            <t>marketplace.atlassian.com/apps/1218497/veracode-integration-for-jira-cloud</t>
          </r>
        </is>
      </c>
      <c r="F29" s="16" t="inlineStr">
        <is>
          <t>paper</t>
        </is>
      </c>
      <c r="G29" s="19" t="n"/>
      <c r="H29" s="20" t="n"/>
      <c r="I29" s="21" t="n"/>
      <c r="J29" s="19" t="n"/>
      <c r="K29" s="20" t="n"/>
      <c r="L29" s="21" t="n"/>
      <c r="M29" s="19" t="n"/>
      <c r="N29" s="20" t="n"/>
      <c r="O29" s="21" t="n"/>
      <c r="P29" s="19" t="n"/>
      <c r="Q29" s="20" t="n"/>
      <c r="R29" s="21" t="n"/>
      <c r="S29" s="19" t="n"/>
      <c r="T29" s="20" t="n"/>
      <c r="U29" s="21" t="n"/>
      <c r="V29" s="19" t="n"/>
      <c r="W29" s="20" t="n"/>
      <c r="X29" s="20" t="n"/>
      <c r="Y29" s="17">
        <f>IF(ISBLANK(V29),"",V29-D29)</f>
        <v/>
      </c>
      <c r="Z29" s="22" t="inlineStr">
        <is>
          <t>ticketing-collaboration-integration</t>
        </is>
      </c>
      <c r="AA29" s="22" t="n">
        <v>0</v>
      </c>
      <c r="AB29" s="22">
        <f>IF(ISBLANK(V29),D29,V29)</f>
        <v/>
      </c>
    </row>
    <row r="30">
      <c r="A30" s="11" t="inlineStr">
        <is>
          <t>Asset Discovery &amp; Inventory Tracking</t>
        </is>
      </c>
      <c r="B30" s="11" t="inlineStr">
        <is>
          <t>Coverage</t>
        </is>
      </c>
      <c r="C30" s="6" t="n">
        <v>1</v>
      </c>
      <c r="D30" s="6" t="n">
        <v>4.5</v>
      </c>
      <c r="E30" s="12" t="inlineStr">
        <is>
          <r>
            <t xml:space="preserve">Veracode EASM (External Attack Surface Management) is a real, dedicated product performing static scans (predefined domains) and Deep Discovery scans (all externally-accessible assets), automatically tracking internet-exposed APIs, web apps, mobile apps, and cloud assets, many unknown/unmanaged. Verified by independent gap-check after the original research missed this branded product. Source: </t>
          </r>
          <r>
            <rPr>
              <color rgb="000563C1"/>
              <u val="single"/>
            </rPr>
            <t>veracode.com/veracode-external-attack-surface-management</t>
          </r>
          <r>
            <t>, docs.veracode.com/r/Discover_your_attack_surface</t>
          </r>
        </is>
      </c>
      <c r="F30" s="11" t="inlineStr">
        <is>
          <t>paper</t>
        </is>
      </c>
      <c r="G30" s="13" t="n"/>
      <c r="H30" s="14" t="n"/>
      <c r="I30" s="15" t="n"/>
      <c r="J30" s="13" t="n"/>
      <c r="K30" s="14" t="n"/>
      <c r="L30" s="15" t="n"/>
      <c r="M30" s="13" t="n"/>
      <c r="N30" s="14" t="n"/>
      <c r="O30" s="15" t="n"/>
      <c r="P30" s="13" t="n"/>
      <c r="Q30" s="14" t="n"/>
      <c r="R30" s="15" t="n"/>
      <c r="S30" s="13" t="n"/>
      <c r="T30" s="14" t="n"/>
      <c r="U30" s="15" t="n"/>
      <c r="V30" s="13" t="n"/>
      <c r="W30" s="14" t="n"/>
      <c r="X30" s="14" t="n"/>
      <c r="Y30" s="6">
        <f>IF(ISBLANK(V30),"",V30-D30)</f>
        <v/>
      </c>
      <c r="Z30" t="inlineStr">
        <is>
          <t>asset-discovery-inventory</t>
        </is>
      </c>
      <c r="AA30" t="n">
        <v>0</v>
      </c>
      <c r="AB30">
        <f>IF(ISBLANK(V30),D30,V30)</f>
        <v/>
      </c>
    </row>
    <row r="31">
      <c r="A31" s="16" t="inlineStr">
        <is>
          <t>Extensibility / Custom Rules</t>
        </is>
      </c>
      <c r="B31" s="16" t="inlineStr">
        <is>
          <t>Reporting &amp; Extensibility</t>
        </is>
      </c>
      <c r="C31" s="17" t="n">
        <v>1</v>
      </c>
      <c r="D31" s="17" t="n">
        <v>2.5</v>
      </c>
      <c r="E31" s="18" t="inlineStr">
        <is>
          <r>
            <t xml:space="preserve">Community integration tooling (Veracode-Community-Projects) exists for automation/glue, but no detection-rule-authoring DSL comparable to ZAP's Zest or Nuclei's YAML templates found. Source: </t>
          </r>
          <r>
            <rPr>
              <color rgb="000563C1"/>
              <u val="single"/>
            </rPr>
            <t>docs.veracode.com/r/c_sc_policies_custom</t>
          </r>
          <r>
            <t>, docs.veracode.com/r/Create_Custom_Rules_for_Agent_Based_Scanning (custom rules found are for SCA agent-based scanning license/component policy controls, not new DAST detection signatures)</t>
          </r>
        </is>
      </c>
      <c r="F31" s="16" t="inlineStr">
        <is>
          <t>paper</t>
        </is>
      </c>
      <c r="G31" s="19" t="n"/>
      <c r="H31" s="20" t="n"/>
      <c r="I31" s="21" t="n"/>
      <c r="J31" s="19" t="n"/>
      <c r="K31" s="20" t="n"/>
      <c r="L31" s="21" t="n"/>
      <c r="M31" s="19" t="n"/>
      <c r="N31" s="20" t="n"/>
      <c r="O31" s="21" t="n"/>
      <c r="P31" s="19" t="n"/>
      <c r="Q31" s="20" t="n"/>
      <c r="R31" s="21" t="n"/>
      <c r="S31" s="19" t="n"/>
      <c r="T31" s="20" t="n"/>
      <c r="U31" s="21" t="n"/>
      <c r="V31" s="19" t="n"/>
      <c r="W31" s="20" t="n"/>
      <c r="X31" s="20" t="n"/>
      <c r="Y31" s="17">
        <f>IF(ISBLANK(V31),"",V31-D31)</f>
        <v/>
      </c>
      <c r="Z31" s="22" t="inlineStr">
        <is>
          <t>extensibility-custom-rules</t>
        </is>
      </c>
      <c r="AA31" s="22" t="n">
        <v>0</v>
      </c>
      <c r="AB31" s="22">
        <f>IF(ISBLANK(V31),D31,V31)</f>
        <v/>
      </c>
    </row>
    <row r="32">
      <c r="A32" s="11" t="inlineStr">
        <is>
          <t>SIEM/SOAR Integration</t>
        </is>
      </c>
      <c r="B32" s="11" t="inlineStr">
        <is>
          <t>Reporting &amp; Extensibility</t>
        </is>
      </c>
      <c r="C32" s="6" t="n">
        <v>1</v>
      </c>
      <c r="D32" s="6" t="n">
        <v>2</v>
      </c>
      <c r="E32" s="12" t="inlineStr">
        <is>
          <r>
            <t xml:space="preserve">No confirmed native SIEM/SOAR integration found in research -- explicitly a research gap rather than a confirmed absence; only community Slack-webhook-redirect tooling for SCA agent results was found. Source: </t>
          </r>
          <r>
            <rPr>
              <color rgb="000563C1"/>
              <u val="single"/>
            </rPr>
            <t>docs.veracode.com/r/Veracode_Integrations</t>
          </r>
          <r>
            <t xml:space="preserve"> (official integrations page lists Jira/Bugzilla/RSA Archer/Imperva/CI-CD/IDE tools, no native Splunk/QRadar/Sentinel/XSOAR), splunkbase.splunk.com/app/7277 ('Veracode Splunk Bridge' is third-party/community-built, not Veracode-authored)</t>
          </r>
        </is>
      </c>
      <c r="F32" s="11" t="inlineStr">
        <is>
          <t>paper</t>
        </is>
      </c>
      <c r="G32" s="13" t="n"/>
      <c r="H32" s="14" t="n"/>
      <c r="I32" s="15" t="n"/>
      <c r="J32" s="13" t="n"/>
      <c r="K32" s="14" t="n"/>
      <c r="L32" s="15" t="n"/>
      <c r="M32" s="13" t="n"/>
      <c r="N32" s="14" t="n"/>
      <c r="O32" s="15" t="n"/>
      <c r="P32" s="13" t="n"/>
      <c r="Q32" s="14" t="n"/>
      <c r="R32" s="15" t="n"/>
      <c r="S32" s="13" t="n"/>
      <c r="T32" s="14" t="n"/>
      <c r="U32" s="15" t="n"/>
      <c r="V32" s="13" t="n"/>
      <c r="W32" s="14" t="n"/>
      <c r="X32" s="14" t="n"/>
      <c r="Y32" s="6">
        <f>IF(ISBLANK(V32),"",V32-D32)</f>
        <v/>
      </c>
      <c r="Z32" t="inlineStr">
        <is>
          <t>siem-soar-integration</t>
        </is>
      </c>
      <c r="AA32" t="n">
        <v>0</v>
      </c>
      <c r="AB32">
        <f>IF(ISBLANK(V32),D32,V32)</f>
        <v/>
      </c>
    </row>
    <row r="33">
      <c r="A33" s="16" t="inlineStr">
        <is>
          <t>Third-Party/Partner API Risk Assessment</t>
        </is>
      </c>
      <c r="B33" s="16" t="inlineStr">
        <is>
          <t>Coverage</t>
        </is>
      </c>
      <c r="C33" s="17" t="n">
        <v>1</v>
      </c>
      <c r="D33" s="17" t="n">
        <v>2</v>
      </c>
      <c r="E33" s="18" t="inlineStr">
        <is>
          <r>
            <t xml:space="preserve">No dedicated vendor-risk-assessment output shaping for partner-facing APIs found -- inferred absence. Source: </t>
          </r>
          <r>
            <rPr>
              <color rgb="000563C1"/>
              <u val="single"/>
            </rPr>
            <t>veracode.com/security/third-party-risk-assessment</t>
          </r>
          <r>
            <t xml:space="preserve"> (Veracode's 'third-party risk' products, SCA/VAST, address risk from vendors' code coming in, not risk of your APIs facing partners -- opposite direction from the rubric)</t>
          </r>
        </is>
      </c>
      <c r="F33" s="16" t="inlineStr">
        <is>
          <t>paper</t>
        </is>
      </c>
      <c r="G33" s="19" t="n"/>
      <c r="H33" s="20" t="n"/>
      <c r="I33" s="21" t="n"/>
      <c r="J33" s="19" t="n"/>
      <c r="K33" s="20" t="n"/>
      <c r="L33" s="21" t="n"/>
      <c r="M33" s="19" t="n"/>
      <c r="N33" s="20" t="n"/>
      <c r="O33" s="21" t="n"/>
      <c r="P33" s="19" t="n"/>
      <c r="Q33" s="20" t="n"/>
      <c r="R33" s="21" t="n"/>
      <c r="S33" s="19" t="n"/>
      <c r="T33" s="20" t="n"/>
      <c r="U33" s="21" t="n"/>
      <c r="V33" s="19" t="n"/>
      <c r="W33" s="20" t="n"/>
      <c r="X33" s="20" t="n"/>
      <c r="Y33" s="17">
        <f>IF(ISBLANK(V33),"",V33-D33)</f>
        <v/>
      </c>
      <c r="Z33" s="22" t="inlineStr">
        <is>
          <t>third-party-partner-api-risk</t>
        </is>
      </c>
      <c r="AA33" s="22" t="n">
        <v>0</v>
      </c>
      <c r="AB33" s="22">
        <f>IF(ISBLANK(V33),D33,V33)</f>
        <v/>
      </c>
    </row>
    <row r="34">
      <c r="A34" s="11" t="inlineStr">
        <is>
          <t>IDE / Local Developer Tooling</t>
        </is>
      </c>
      <c r="B34" s="11" t="inlineStr">
        <is>
          <t>Developer Experience</t>
        </is>
      </c>
      <c r="C34" s="6" t="n">
        <v>1</v>
      </c>
      <c r="D34" s="6" t="n">
        <v>3</v>
      </c>
      <c r="E34" s="12" t="inlineStr">
        <is>
          <r>
            <t xml:space="preserve">IDE plugin support exists via Pipeline2DetailedReport format translation for importing scan results into an IDE plugin -- real but somewhat indirect/tooling-assisted rather than a native, polished plugin. Source: </t>
          </r>
          <r>
            <rPr>
              <color rgb="000563C1"/>
              <u val="single"/>
            </rPr>
            <t>docs.veracode.com/r/Veracode_Integrations</t>
          </r>
        </is>
      </c>
      <c r="F34" s="11" t="inlineStr">
        <is>
          <t>paper</t>
        </is>
      </c>
      <c r="G34" s="13" t="n"/>
      <c r="H34" s="14" t="n"/>
      <c r="I34" s="15" t="n"/>
      <c r="J34" s="13" t="n"/>
      <c r="K34" s="14" t="n"/>
      <c r="L34" s="15" t="n"/>
      <c r="M34" s="13" t="n"/>
      <c r="N34" s="14" t="n"/>
      <c r="O34" s="15" t="n"/>
      <c r="P34" s="13" t="n"/>
      <c r="Q34" s="14" t="n"/>
      <c r="R34" s="15" t="n"/>
      <c r="S34" s="13" t="n"/>
      <c r="T34" s="14" t="n"/>
      <c r="U34" s="15" t="n"/>
      <c r="V34" s="13" t="n"/>
      <c r="W34" s="14" t="n"/>
      <c r="X34" s="14" t="n"/>
      <c r="Y34" s="6">
        <f>IF(ISBLANK(V34),"",V34-D34)</f>
        <v/>
      </c>
      <c r="Z34" t="inlineStr">
        <is>
          <t>ide-local-dev-tooling</t>
        </is>
      </c>
      <c r="AA34" t="n">
        <v>0</v>
      </c>
      <c r="AB34">
        <f>IF(ISBLANK(V34),D34,V34)</f>
        <v/>
      </c>
    </row>
    <row r="35">
      <c r="A35" s="16" t="inlineStr">
        <is>
          <t>Auto-Remediation / Auto-PR</t>
        </is>
      </c>
      <c r="B35" s="16" t="inlineStr">
        <is>
          <t>Developer Experience</t>
        </is>
      </c>
      <c r="C35" s="17" t="n">
        <v>0</v>
      </c>
      <c r="D35" s="17" t="n">
        <v>5</v>
      </c>
      <c r="E35" s="18" t="inlineStr">
        <is>
          <r>
            <t xml:space="preserve">Veracode Fix GitHub Action, configured with fixType:batch and createPR:true, creates a new branch and opens an actual pull request with proposed fixes for review/approval/merge. Source: </t>
          </r>
          <r>
            <rPr>
              <color rgb="000563C1"/>
              <u val="single"/>
            </rPr>
            <t>docs.veracode.com/r/Veracode_Fix_GitHub_Action</t>
          </r>
          <r>
            <t>, veracode.com/blog/bringing-veracode-fix-github</t>
          </r>
        </is>
      </c>
      <c r="F35" s="16" t="inlineStr">
        <is>
          <t>paper</t>
        </is>
      </c>
      <c r="G35" s="19" t="n"/>
      <c r="H35" s="20" t="n"/>
      <c r="I35" s="21" t="n"/>
      <c r="J35" s="19" t="n"/>
      <c r="K35" s="20" t="n"/>
      <c r="L35" s="21" t="n"/>
      <c r="M35" s="19" t="n"/>
      <c r="N35" s="20" t="n"/>
      <c r="O35" s="21" t="n"/>
      <c r="P35" s="19" t="n"/>
      <c r="Q35" s="20" t="n"/>
      <c r="R35" s="21" t="n"/>
      <c r="S35" s="19" t="n"/>
      <c r="T35" s="20" t="n"/>
      <c r="U35" s="21" t="n"/>
      <c r="V35" s="19" t="n"/>
      <c r="W35" s="20" t="n"/>
      <c r="X35" s="20" t="n"/>
      <c r="Y35" s="17">
        <f>IF(ISBLANK(V35),"",V35-D35)</f>
        <v/>
      </c>
      <c r="Z35" s="22" t="inlineStr">
        <is>
          <t>auto-remediation-pr</t>
        </is>
      </c>
      <c r="AA35" s="22" t="n">
        <v>0</v>
      </c>
      <c r="AB35" s="22">
        <f>IF(ISBLANK(V35),D35,V35)</f>
        <v/>
      </c>
    </row>
    <row r="36">
      <c r="A36" s="11" t="inlineStr">
        <is>
          <t>Incremental / Differential Scanning</t>
        </is>
      </c>
      <c r="B36" s="11" t="inlineStr">
        <is>
          <t>Production Safety &amp; Operability</t>
        </is>
      </c>
      <c r="C36" s="6" t="n">
        <v>0</v>
      </c>
      <c r="D36" s="6" t="n">
        <v>3</v>
      </c>
      <c r="E36" s="12" t="inlineStr">
        <is>
          <r>
            <t xml:space="preserve">Veracode DAST scan configuration supports allowlist/blocklist and subdirectory-level URL scoping to restrict scans to specific paths, matching rubric level 3 exactly. No automatic change-detection-since-last-scan found -- the 'Similarity Threshold' feature dedupes within one scan, not across scans. Source: </t>
          </r>
          <r>
            <rPr>
              <color rgb="000563C1"/>
              <u val="single"/>
            </rPr>
            <t>docs.veracode.com/r/Scan_Web_Applications</t>
          </r>
        </is>
      </c>
      <c r="F36" s="11" t="inlineStr">
        <is>
          <t>paper</t>
        </is>
      </c>
      <c r="G36" s="13" t="n"/>
      <c r="H36" s="14" t="n"/>
      <c r="I36" s="15" t="n"/>
      <c r="J36" s="13" t="n"/>
      <c r="K36" s="14" t="n"/>
      <c r="L36" s="15" t="n"/>
      <c r="M36" s="13" t="n"/>
      <c r="N36" s="14" t="n"/>
      <c r="O36" s="15" t="n"/>
      <c r="P36" s="13" t="n"/>
      <c r="Q36" s="14" t="n"/>
      <c r="R36" s="15" t="n"/>
      <c r="S36" s="13" t="n"/>
      <c r="T36" s="14" t="n"/>
      <c r="U36" s="15" t="n"/>
      <c r="V36" s="13" t="n"/>
      <c r="W36" s="14" t="n"/>
      <c r="X36" s="14" t="n"/>
      <c r="Y36" s="6">
        <f>IF(ISBLANK(V36),"",V36-D36)</f>
        <v/>
      </c>
      <c r="Z36" t="inlineStr">
        <is>
          <t>incremental-differential-scanning</t>
        </is>
      </c>
      <c r="AA36" t="n">
        <v>0</v>
      </c>
      <c r="AB36">
        <f>IF(ISBLANK(V36),D36,V36)</f>
        <v/>
      </c>
    </row>
    <row r="37" ht="20" customHeight="1">
      <c r="A37" s="23" t="inlineStr">
        <is>
          <t>Summary</t>
        </is>
      </c>
    </row>
    <row r="38">
      <c r="A38" s="24" t="inlineStr">
        <is>
          <t>Coverage</t>
        </is>
      </c>
      <c r="B38" s="24" t="n"/>
      <c r="C38" s="24">
        <f>SUMPRODUCT((B4:B36="Coverage")*C4:C36*AB4:AB36*(1-AA4:AA36))/5</f>
        <v/>
      </c>
      <c r="D38" s="24">
        <f>TEXT(C38,"0.0")&amp;"/"&amp;TEXT(E38,"0")&amp;" available points"</f>
        <v/>
      </c>
      <c r="E38" s="24">
        <f>SUMPRODUCT((B4:B36="Coverage")*C4:C36*(1-AA4:AA36))</f>
        <v/>
      </c>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row>
    <row r="39">
      <c r="A39" t="inlineStr">
        <is>
          <t>Detection Quality</t>
        </is>
      </c>
      <c r="C39">
        <f>SUMPRODUCT((B4:B36="Detection Quality")*C4:C36*AB4:AB36*(1-AA4:AA36))/5</f>
        <v/>
      </c>
      <c r="D39">
        <f>TEXT(C39,"0.0")&amp;"/"&amp;TEXT(E39,"0")&amp;" available points"</f>
        <v/>
      </c>
      <c r="E39">
        <f>SUMPRODUCT((B4:B36="Detection Quality")*C4:C36*(1-AA4:AA36))</f>
        <v/>
      </c>
    </row>
    <row r="40">
      <c r="A40" t="inlineStr">
        <is>
          <t>Production Safety &amp; Operability</t>
        </is>
      </c>
      <c r="C40">
        <f>SUMPRODUCT((B4:B36="Production Safety &amp; Operability")*C4:C36*AB4:AB36*(1-AA4:AA36))/5</f>
        <v/>
      </c>
      <c r="D40">
        <f>TEXT(C40,"0.0")&amp;"/"&amp;TEXT(E40,"0")&amp;" available points"</f>
        <v/>
      </c>
      <c r="E40">
        <f>SUMPRODUCT((B4:B36="Production Safety &amp; Operability")*C4:C36*(1-AA4:AA36))</f>
        <v/>
      </c>
    </row>
    <row r="41">
      <c r="A41" t="inlineStr">
        <is>
          <t>Developer Experience</t>
        </is>
      </c>
      <c r="C41">
        <f>SUMPRODUCT((B4:B36="Developer Experience")*C4:C36*AB4:AB36*(1-AA4:AA36))/5</f>
        <v/>
      </c>
      <c r="D41">
        <f>TEXT(C41,"0.0")&amp;"/"&amp;TEXT(E41,"0")&amp;" available points"</f>
        <v/>
      </c>
      <c r="E41">
        <f>SUMPRODUCT((B4:B36="Developer Experience")*C4:C36*(1-AA4:AA36))</f>
        <v/>
      </c>
    </row>
    <row r="42">
      <c r="A42" t="inlineStr">
        <is>
          <t>Reporting &amp; Extensibility</t>
        </is>
      </c>
      <c r="C42">
        <f>SUMPRODUCT((B4:B36="Reporting &amp; Extensibility")*C4:C36*AB4:AB36*(1-AA4:AA36))/5</f>
        <v/>
      </c>
      <c r="D42">
        <f>TEXT(C42,"0.0")&amp;"/"&amp;TEXT(E42,"0")&amp;" available points"</f>
        <v/>
      </c>
      <c r="E42">
        <f>SUMPRODUCT((B4:B36="Reporting &amp; Extensibility")*C4:C36*(1-AA4:AA36))</f>
        <v/>
      </c>
    </row>
    <row r="43">
      <c r="A43" t="inlineStr">
        <is>
          <t>Deployment &amp; Data Governance</t>
        </is>
      </c>
      <c r="C43">
        <f>SUMPRODUCT((B4:B36="Deployment &amp; Data Governance")*C4:C36*AB4:AB36*(1-AA4:AA36))/5</f>
        <v/>
      </c>
      <c r="D43">
        <f>TEXT(C43,"0.0")&amp;"/"&amp;TEXT(E43,"0")&amp;" available points"</f>
        <v/>
      </c>
      <c r="E43">
        <f>SUMPRODUCT((B4:B36="Deployment &amp; Data Governance")*C4:C36*(1-AA4:AA36))</f>
        <v/>
      </c>
    </row>
    <row r="44">
      <c r="A44" t="inlineStr">
        <is>
          <t>Weighted Total</t>
        </is>
      </c>
      <c r="C44">
        <f>SUMPRODUCT(C4:C36,AB4:AB36,(1-AA4:AA36))/5</f>
        <v/>
      </c>
      <c r="D44">
        <f>TEXT(C44,"0.0")&amp;"/"&amp;TEXT(E44,"0")&amp;" available points"</f>
        <v/>
      </c>
      <c r="E44">
        <f>SUMPRODUCT(C4:C36,(1-AA4:AA36))</f>
        <v/>
      </c>
    </row>
  </sheetData>
  <sheetProtection selectLockedCells="0" selectUnlockedCells="0" sheet="1" objects="0" insertRows="1" insertHyperlinks="1" autoFilter="1" scenarios="0" formatColumns="1" deleteColumns="1" insertColumns="1" pivotTables="1" deleteRows="1" formatCells="1" formatRows="1" sort="1"/>
  <mergeCells count="5">
    <mergeCell ref="G2:I2"/>
    <mergeCell ref="J2:L2"/>
    <mergeCell ref="P2:R2"/>
    <mergeCell ref="M2:O2"/>
    <mergeCell ref="S2:U2"/>
  </mergeCells>
  <conditionalFormatting sqref="G4">
    <cfRule type="cellIs" priority="1" operator="equal" dxfId="0">
      <formula>""</formula>
    </cfRule>
  </conditionalFormatting>
  <conditionalFormatting sqref="J4">
    <cfRule type="cellIs" priority="2" operator="equal" dxfId="0">
      <formula>""</formula>
    </cfRule>
  </conditionalFormatting>
  <conditionalFormatting sqref="M4">
    <cfRule type="cellIs" priority="3" operator="equal" dxfId="0">
      <formula>""</formula>
    </cfRule>
  </conditionalFormatting>
  <conditionalFormatting sqref="P4">
    <cfRule type="cellIs" priority="4" operator="equal" dxfId="0">
      <formula>""</formula>
    </cfRule>
  </conditionalFormatting>
  <conditionalFormatting sqref="S4">
    <cfRule type="cellIs" priority="5" operator="equal" dxfId="0">
      <formula>""</formula>
    </cfRule>
  </conditionalFormatting>
  <conditionalFormatting sqref="V4">
    <cfRule type="cellIs" priority="6" operator="equal" dxfId="0">
      <formula>""</formula>
    </cfRule>
  </conditionalFormatting>
  <conditionalFormatting sqref="G5">
    <cfRule type="cellIs" priority="7" operator="equal" dxfId="0">
      <formula>""</formula>
    </cfRule>
  </conditionalFormatting>
  <conditionalFormatting sqref="J5">
    <cfRule type="cellIs" priority="8" operator="equal" dxfId="0">
      <formula>""</formula>
    </cfRule>
  </conditionalFormatting>
  <conditionalFormatting sqref="M5">
    <cfRule type="cellIs" priority="9" operator="equal" dxfId="0">
      <formula>""</formula>
    </cfRule>
  </conditionalFormatting>
  <conditionalFormatting sqref="P5">
    <cfRule type="cellIs" priority="10" operator="equal" dxfId="0">
      <formula>""</formula>
    </cfRule>
  </conditionalFormatting>
  <conditionalFormatting sqref="S5">
    <cfRule type="cellIs" priority="11" operator="equal" dxfId="0">
      <formula>""</formula>
    </cfRule>
  </conditionalFormatting>
  <conditionalFormatting sqref="V5">
    <cfRule type="cellIs" priority="12" operator="equal" dxfId="0">
      <formula>""</formula>
    </cfRule>
  </conditionalFormatting>
  <conditionalFormatting sqref="G6">
    <cfRule type="cellIs" priority="13" operator="equal" dxfId="0">
      <formula>""</formula>
    </cfRule>
  </conditionalFormatting>
  <conditionalFormatting sqref="J6">
    <cfRule type="cellIs" priority="14" operator="equal" dxfId="0">
      <formula>""</formula>
    </cfRule>
  </conditionalFormatting>
  <conditionalFormatting sqref="M6">
    <cfRule type="cellIs" priority="15" operator="equal" dxfId="0">
      <formula>""</formula>
    </cfRule>
  </conditionalFormatting>
  <conditionalFormatting sqref="P6">
    <cfRule type="cellIs" priority="16" operator="equal" dxfId="0">
      <formula>""</formula>
    </cfRule>
  </conditionalFormatting>
  <conditionalFormatting sqref="S6">
    <cfRule type="cellIs" priority="17" operator="equal" dxfId="0">
      <formula>""</formula>
    </cfRule>
  </conditionalFormatting>
  <conditionalFormatting sqref="V6">
    <cfRule type="cellIs" priority="18" operator="equal" dxfId="0">
      <formula>""</formula>
    </cfRule>
  </conditionalFormatting>
  <conditionalFormatting sqref="G7">
    <cfRule type="cellIs" priority="19" operator="equal" dxfId="0">
      <formula>""</formula>
    </cfRule>
  </conditionalFormatting>
  <conditionalFormatting sqref="J7">
    <cfRule type="cellIs" priority="20" operator="equal" dxfId="0">
      <formula>""</formula>
    </cfRule>
  </conditionalFormatting>
  <conditionalFormatting sqref="M7">
    <cfRule type="cellIs" priority="21" operator="equal" dxfId="0">
      <formula>""</formula>
    </cfRule>
  </conditionalFormatting>
  <conditionalFormatting sqref="P7">
    <cfRule type="cellIs" priority="22" operator="equal" dxfId="0">
      <formula>""</formula>
    </cfRule>
  </conditionalFormatting>
  <conditionalFormatting sqref="S7">
    <cfRule type="cellIs" priority="23" operator="equal" dxfId="0">
      <formula>""</formula>
    </cfRule>
  </conditionalFormatting>
  <conditionalFormatting sqref="V7">
    <cfRule type="cellIs" priority="24" operator="equal" dxfId="0">
      <formula>""</formula>
    </cfRule>
  </conditionalFormatting>
  <conditionalFormatting sqref="G8">
    <cfRule type="cellIs" priority="25" operator="equal" dxfId="0">
      <formula>""</formula>
    </cfRule>
  </conditionalFormatting>
  <conditionalFormatting sqref="J8">
    <cfRule type="cellIs" priority="26" operator="equal" dxfId="0">
      <formula>""</formula>
    </cfRule>
  </conditionalFormatting>
  <conditionalFormatting sqref="M8">
    <cfRule type="cellIs" priority="27" operator="equal" dxfId="0">
      <formula>""</formula>
    </cfRule>
  </conditionalFormatting>
  <conditionalFormatting sqref="P8">
    <cfRule type="cellIs" priority="28" operator="equal" dxfId="0">
      <formula>""</formula>
    </cfRule>
  </conditionalFormatting>
  <conditionalFormatting sqref="S8">
    <cfRule type="cellIs" priority="29" operator="equal" dxfId="0">
      <formula>""</formula>
    </cfRule>
  </conditionalFormatting>
  <conditionalFormatting sqref="V8">
    <cfRule type="cellIs" priority="30" operator="equal" dxfId="0">
      <formula>""</formula>
    </cfRule>
  </conditionalFormatting>
  <conditionalFormatting sqref="G9">
    <cfRule type="cellIs" priority="31" operator="equal" dxfId="0">
      <formula>""</formula>
    </cfRule>
  </conditionalFormatting>
  <conditionalFormatting sqref="J9">
    <cfRule type="cellIs" priority="32" operator="equal" dxfId="0">
      <formula>""</formula>
    </cfRule>
  </conditionalFormatting>
  <conditionalFormatting sqref="M9">
    <cfRule type="cellIs" priority="33" operator="equal" dxfId="0">
      <formula>""</formula>
    </cfRule>
  </conditionalFormatting>
  <conditionalFormatting sqref="P9">
    <cfRule type="cellIs" priority="34" operator="equal" dxfId="0">
      <formula>""</formula>
    </cfRule>
  </conditionalFormatting>
  <conditionalFormatting sqref="S9">
    <cfRule type="cellIs" priority="35" operator="equal" dxfId="0">
      <formula>""</formula>
    </cfRule>
  </conditionalFormatting>
  <conditionalFormatting sqref="V9">
    <cfRule type="cellIs" priority="36" operator="equal" dxfId="0">
      <formula>""</formula>
    </cfRule>
  </conditionalFormatting>
  <conditionalFormatting sqref="G10">
    <cfRule type="cellIs" priority="37" operator="equal" dxfId="0">
      <formula>""</formula>
    </cfRule>
  </conditionalFormatting>
  <conditionalFormatting sqref="J10">
    <cfRule type="cellIs" priority="38" operator="equal" dxfId="0">
      <formula>""</formula>
    </cfRule>
  </conditionalFormatting>
  <conditionalFormatting sqref="M10">
    <cfRule type="cellIs" priority="39" operator="equal" dxfId="0">
      <formula>""</formula>
    </cfRule>
  </conditionalFormatting>
  <conditionalFormatting sqref="P10">
    <cfRule type="cellIs" priority="40" operator="equal" dxfId="0">
      <formula>""</formula>
    </cfRule>
  </conditionalFormatting>
  <conditionalFormatting sqref="S10">
    <cfRule type="cellIs" priority="41" operator="equal" dxfId="0">
      <formula>""</formula>
    </cfRule>
  </conditionalFormatting>
  <conditionalFormatting sqref="V10">
    <cfRule type="cellIs" priority="42" operator="equal" dxfId="0">
      <formula>""</formula>
    </cfRule>
  </conditionalFormatting>
  <conditionalFormatting sqref="G11">
    <cfRule type="cellIs" priority="43" operator="equal" dxfId="0">
      <formula>""</formula>
    </cfRule>
  </conditionalFormatting>
  <conditionalFormatting sqref="J11">
    <cfRule type="cellIs" priority="44" operator="equal" dxfId="0">
      <formula>""</formula>
    </cfRule>
  </conditionalFormatting>
  <conditionalFormatting sqref="M11">
    <cfRule type="cellIs" priority="45" operator="equal" dxfId="0">
      <formula>""</formula>
    </cfRule>
  </conditionalFormatting>
  <conditionalFormatting sqref="P11">
    <cfRule type="cellIs" priority="46" operator="equal" dxfId="0">
      <formula>""</formula>
    </cfRule>
  </conditionalFormatting>
  <conditionalFormatting sqref="S11">
    <cfRule type="cellIs" priority="47" operator="equal" dxfId="0">
      <formula>""</formula>
    </cfRule>
  </conditionalFormatting>
  <conditionalFormatting sqref="V11">
    <cfRule type="cellIs" priority="48" operator="equal" dxfId="0">
      <formula>""</formula>
    </cfRule>
  </conditionalFormatting>
  <conditionalFormatting sqref="G12">
    <cfRule type="cellIs" priority="49" operator="equal" dxfId="0">
      <formula>""</formula>
    </cfRule>
  </conditionalFormatting>
  <conditionalFormatting sqref="J12">
    <cfRule type="cellIs" priority="50" operator="equal" dxfId="0">
      <formula>""</formula>
    </cfRule>
  </conditionalFormatting>
  <conditionalFormatting sqref="M12">
    <cfRule type="cellIs" priority="51" operator="equal" dxfId="0">
      <formula>""</formula>
    </cfRule>
  </conditionalFormatting>
  <conditionalFormatting sqref="P12">
    <cfRule type="cellIs" priority="52" operator="equal" dxfId="0">
      <formula>""</formula>
    </cfRule>
  </conditionalFormatting>
  <conditionalFormatting sqref="S12">
    <cfRule type="cellIs" priority="53" operator="equal" dxfId="0">
      <formula>""</formula>
    </cfRule>
  </conditionalFormatting>
  <conditionalFormatting sqref="V12">
    <cfRule type="cellIs" priority="54" operator="equal" dxfId="0">
      <formula>""</formula>
    </cfRule>
  </conditionalFormatting>
  <conditionalFormatting sqref="G13">
    <cfRule type="cellIs" priority="55" operator="equal" dxfId="0">
      <formula>""</formula>
    </cfRule>
  </conditionalFormatting>
  <conditionalFormatting sqref="J13">
    <cfRule type="cellIs" priority="56" operator="equal" dxfId="0">
      <formula>""</formula>
    </cfRule>
  </conditionalFormatting>
  <conditionalFormatting sqref="M13">
    <cfRule type="cellIs" priority="57" operator="equal" dxfId="0">
      <formula>""</formula>
    </cfRule>
  </conditionalFormatting>
  <conditionalFormatting sqref="P13">
    <cfRule type="cellIs" priority="58" operator="equal" dxfId="0">
      <formula>""</formula>
    </cfRule>
  </conditionalFormatting>
  <conditionalFormatting sqref="S13">
    <cfRule type="cellIs" priority="59" operator="equal" dxfId="0">
      <formula>""</formula>
    </cfRule>
  </conditionalFormatting>
  <conditionalFormatting sqref="V13">
    <cfRule type="cellIs" priority="60" operator="equal" dxfId="0">
      <formula>""</formula>
    </cfRule>
  </conditionalFormatting>
  <dataValidations count="2">
    <dataValidation sqref="G4 G5 G6 G7 G8 G9 G10 G11 G12 G13 G14 G15 G16 G17 G18 G19 G20 G21 G22 G23 G24 G25 G26 G27 G28 G29 G30 G31 G32 G33 G34 G35 G36 J4 J5 J6 J7 J8 J9 J10 J11 J12 J13 J14 J15 J16 J17 J18 J19 J20 J21 J22 J23 J24 J25 J26 J27 J28 J29 J30 J31 J32 J33 J34 J35 J36 M4 M5 M6 M7 M8 M9 M10 M11 M12 M13 M14 M15 M16 M17 M18 M19 M20 M21 M22 M23 M24 M25 M26 M27 M28 M29 M30 M31 M32 M33 M34 M35 M36 P4 P5 P6 P7 P8 P9 P10 P11 P12 P13 P14 P15 P16 P17 P18 P19 P20 P21 P22 P23 P24 P25 P26 P27 P28 P29 P30 P31 P32 P33 P34 P35 P36 S4 S5 S6 S7 S8 S9 S10 S11 S12 S13 S14 S15 S16 S17 S18 S19 S20 S21 S22 S23 S24 S25 S26 S27 S28 S29 S30 S31 S32 S33 S34 S35 S36 V4 V5 V6 V7 V8 V9 V10 V11 V12 V13 V14 V15 V16 V17 V18 V19 V20 V21 V22 V23 V24 V25 V26 V27 V28 V29 V30 V31 V32 V33 V34 V35 V36" showDropDown="0" showInputMessage="0" showErrorMessage="1" allowBlank="1" errorTitle="Invalid score" error="Score must be one of: 1.0, 1.5, 2.0, 2.5, 3.0, 3.5, 4.0, 4.5, 5.0" type="list" errorStyle="stop">
      <formula1>"1.0,1.5,2.0,2.5,3.0,3.5,4.0,4.5,5.0"</formula1>
    </dataValidation>
    <dataValidation sqref="H4 H5 H6 H7 H8 H9 H10 H11 H12 H13 H14 H15 H16 H17 H18 H19 H20 H21 H22 H23 H24 H25 H26 H27 H28 H29 H30 H31 H32 H33 H34 H35 H36 K4 K5 K6 K7 K8 K9 K10 K11 K12 K13 K14 K15 K16 K17 K18 K19 K20 K21 K22 K23 K24 K25 K26 K27 K28 K29 K30 K31 K32 K33 K34 K35 K36 N4 N5 N6 N7 N8 N9 N10 N11 N12 N13 N14 N15 N16 N17 N18 N19 N20 N21 N22 N23 N24 N25 N26 N27 N28 N29 N30 N31 N32 N33 N34 N35 N36 Q4 Q5 Q6 Q7 Q8 Q9 Q10 Q11 Q12 Q13 Q14 Q15 Q16 Q17 Q18 Q19 Q20 Q21 Q22 Q23 Q24 Q25 Q26 Q27 Q28 Q29 Q30 Q31 Q32 Q33 Q34 Q35 Q36 T4 T5 T6 T7 T8 T9 T10 T11 T12 T13 T14 T15 T16 T17 T18 T19 T20 T21 T22 T23 T24 T25 T26 T27 T28 T29 T30 T31 T32 T33 T34 T35 T36" showDropDown="0" showInputMessage="0" showErrorMessage="1" allowBlank="1" errorTitle="Invalid entry" error="Value must be &quot;Yes&quot; (or left blank)." type="list" errorStyle="stop">
      <formula1>"Yes"</formula1>
    </dataValidation>
  </dataValidation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s>
  <pageMargins left="0.75" right="0.75" top="1" bottom="1" header="0.5" footer="0.5"/>
</worksheet>
</file>

<file path=xl/worksheets/sheet5.xml><?xml version="1.0" encoding="utf-8"?>
<worksheet xmlns="http://schemas.openxmlformats.org/spreadsheetml/2006/main">
  <sheetPr>
    <tabColor rgb="00F18F01"/>
    <outlinePr summaryBelow="1" summaryRight="1"/>
    <pageSetUpPr/>
  </sheetPr>
  <dimension ref="A1:AB44"/>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0" customWidth="1" min="3" max="3"/>
    <col width="14" customWidth="1" min="4" max="4"/>
    <col width="45" customWidth="1" min="5" max="5"/>
    <col width="16" customWidth="1" min="6" max="6"/>
    <col width="12" customWidth="1" min="7" max="7"/>
    <col width="12" customWidth="1" min="8" max="8"/>
    <col width="40" customWidth="1" min="9" max="9"/>
    <col width="12" customWidth="1" min="10" max="10"/>
    <col width="12" customWidth="1" min="11" max="11"/>
    <col width="40" customWidth="1" min="12" max="12"/>
    <col width="12" customWidth="1" min="13" max="13"/>
    <col width="12" customWidth="1" min="14" max="14"/>
    <col width="40" customWidth="1" min="15" max="15"/>
    <col width="12" customWidth="1" min="16" max="16"/>
    <col width="12" customWidth="1" min="17" max="17"/>
    <col width="40" customWidth="1" min="18" max="18"/>
    <col width="12" customWidth="1" min="19" max="19"/>
    <col width="12" customWidth="1" min="20" max="20"/>
    <col width="40" customWidth="1" min="21" max="21"/>
    <col width="14" customWidth="1" min="22" max="22"/>
    <col width="16" customWidth="1" min="23" max="23"/>
    <col width="18" customWidth="1" min="24" max="24"/>
    <col width="14" customWidth="1" min="25" max="25"/>
    <col hidden="1" width="13" customWidth="1" min="26" max="26"/>
    <col hidden="1" width="13" customWidth="1" min="27" max="27"/>
    <col hidden="1" width="13" customWidth="1" min="28" max="28"/>
  </cols>
  <sheetData>
    <row r="1" ht="28" customHeight="1">
      <c r="A1" s="1" t="inlineStr">
        <is>
          <t>Checkmarx DAST</t>
        </is>
      </c>
    </row>
    <row r="2" ht="24" customHeight="1">
      <c r="G2" s="3">
        <f>IF(Reviewers!B6="","Unassigned — see Reviewers tab",Reviewers!B6&amp;" - "&amp;Reviewers!C6)</f>
        <v/>
      </c>
      <c r="J2" s="3">
        <f>IF(Reviewers!B7="","Unassigned — see Reviewers tab",Reviewers!B7&amp;" - "&amp;Reviewers!C7)</f>
        <v/>
      </c>
      <c r="M2" s="3">
        <f>IF(Reviewers!B8="","Unassigned — see Reviewers tab",Reviewers!B8&amp;" - "&amp;Reviewers!C8)</f>
        <v/>
      </c>
      <c r="P2" s="3">
        <f>IF(Reviewers!B9="","Unassigned — see Reviewers tab",Reviewers!B9&amp;" - "&amp;Reviewers!C9)</f>
        <v/>
      </c>
      <c r="S2" s="3">
        <f>IF(Reviewers!B10="","Unassigned — see Reviewers tab",Reviewers!B10&amp;" - "&amp;Reviewers!C10)</f>
        <v/>
      </c>
    </row>
    <row r="3" ht="36" customHeight="1">
      <c r="A3" s="3" t="inlineStr">
        <is>
          <t>Criterion</t>
        </is>
      </c>
      <c r="B3" s="3" t="inlineStr">
        <is>
          <t>Category</t>
        </is>
      </c>
      <c r="C3" s="3" t="inlineStr">
        <is>
          <t>Weight</t>
        </is>
      </c>
      <c r="D3" s="3" t="inlineStr">
        <is>
          <t>Automated Score</t>
        </is>
      </c>
      <c r="E3" s="3" t="inlineStr">
        <is>
          <t>Automated Evidence</t>
        </is>
      </c>
      <c r="F3" s="3" t="inlineStr">
        <is>
          <t>Automated Confidence</t>
        </is>
      </c>
      <c r="G3" s="3" t="inlineStr">
        <is>
          <t>Score</t>
        </is>
      </c>
      <c r="H3" s="3" t="inlineStr">
        <is>
          <t>Dispute?</t>
        </is>
      </c>
      <c r="I3" s="3" t="inlineStr">
        <is>
          <t>Rationale</t>
        </is>
      </c>
      <c r="J3" s="3" t="inlineStr">
        <is>
          <t>Score</t>
        </is>
      </c>
      <c r="K3" s="3" t="inlineStr">
        <is>
          <t>Dispute?</t>
        </is>
      </c>
      <c r="L3" s="3" t="inlineStr">
        <is>
          <t>Rationale</t>
        </is>
      </c>
      <c r="M3" s="3" t="inlineStr">
        <is>
          <t>Score</t>
        </is>
      </c>
      <c r="N3" s="3" t="inlineStr">
        <is>
          <t>Dispute?</t>
        </is>
      </c>
      <c r="O3" s="3" t="inlineStr">
        <is>
          <t>Rationale</t>
        </is>
      </c>
      <c r="P3" s="3" t="inlineStr">
        <is>
          <t>Score</t>
        </is>
      </c>
      <c r="Q3" s="3" t="inlineStr">
        <is>
          <t>Dispute?</t>
        </is>
      </c>
      <c r="R3" s="3" t="inlineStr">
        <is>
          <t>Rationale</t>
        </is>
      </c>
      <c r="S3" s="3" t="inlineStr">
        <is>
          <t>Score</t>
        </is>
      </c>
      <c r="T3" s="3" t="inlineStr">
        <is>
          <t>Dispute?</t>
        </is>
      </c>
      <c r="U3" s="3" t="inlineStr">
        <is>
          <t>Rationale</t>
        </is>
      </c>
      <c r="V3" s="3" t="inlineStr">
        <is>
          <t>Resolved Score</t>
        </is>
      </c>
      <c r="W3" s="3" t="inlineStr">
        <is>
          <t>Resolved By</t>
        </is>
      </c>
      <c r="X3" s="3" t="inlineStr">
        <is>
          <t>Resolved Timestamp</t>
        </is>
      </c>
      <c r="Y3" s="3" t="inlineStr">
        <is>
          <t>Automated vs. Resolved Delta</t>
        </is>
      </c>
      <c r="Z3" s="3" t="inlineStr">
        <is>
          <t>_criterion_id</t>
        </is>
      </c>
      <c r="AA3" s="3" t="inlineStr">
        <is>
          <t>_pending</t>
        </is>
      </c>
      <c r="AB3" s="3" t="inlineStr">
        <is>
          <t>_effective_score</t>
        </is>
      </c>
    </row>
    <row r="4">
      <c r="A4" s="11" t="inlineStr">
        <is>
          <t>Detection Accuracy</t>
        </is>
      </c>
      <c r="B4" s="11" t="inlineStr">
        <is>
          <t>Detection Quality</t>
        </is>
      </c>
      <c r="C4" s="6" t="n">
        <v>7</v>
      </c>
      <c r="D4" s="6" t="n">
        <v>3.5</v>
      </c>
      <c r="E4" s="12" t="inlineStr">
        <is>
          <r>
            <t xml:space="preserve">Comprehensive OWASP Top 10 and OWASP API Top 10 coverage claimed, plus business-logic-aware testing -- but no independently published benchmark/ground-truth accuracy score found. Paper confidence, inferred from platform positioning rather than a cited third-party benchmark. Source: </t>
          </r>
          <r>
            <rPr>
              <color rgb="000563C1"/>
              <u val="single"/>
            </rPr>
            <t>checkmarx.com/checkmarx-dast</t>
          </r>
          <r>
            <t xml:space="preserve"> (vendor's own general accuracy/coverage claim, not an independent benchmark)</t>
          </r>
        </is>
      </c>
      <c r="F4" s="11" t="inlineStr">
        <is>
          <t>paper</t>
        </is>
      </c>
      <c r="G4" s="13" t="n"/>
      <c r="H4" s="14" t="n"/>
      <c r="I4" s="15" t="n"/>
      <c r="J4" s="13" t="n"/>
      <c r="K4" s="14" t="n"/>
      <c r="L4" s="15" t="n"/>
      <c r="M4" s="13" t="n"/>
      <c r="N4" s="14" t="n"/>
      <c r="O4" s="15" t="n"/>
      <c r="P4" s="13" t="n"/>
      <c r="Q4" s="14" t="n"/>
      <c r="R4" s="15" t="n"/>
      <c r="S4" s="13" t="n"/>
      <c r="T4" s="14" t="n"/>
      <c r="U4" s="15" t="n"/>
      <c r="V4" s="13" t="n"/>
      <c r="W4" s="14" t="n"/>
      <c r="X4" s="14" t="n"/>
      <c r="Y4" s="6">
        <f>IF(ISBLANK(V4),"",V4-D4)</f>
        <v/>
      </c>
      <c r="Z4" t="inlineStr">
        <is>
          <t>detection-accuracy</t>
        </is>
      </c>
      <c r="AA4" t="n">
        <v>0</v>
      </c>
      <c r="AB4">
        <f>IF(ISBLANK(V4),D4,V4)</f>
        <v/>
      </c>
    </row>
    <row r="5">
      <c r="A5" s="16" t="inlineStr">
        <is>
          <t>Authentication &amp; Session Handling</t>
        </is>
      </c>
      <c r="B5" s="16" t="inlineStr">
        <is>
          <t>Coverage</t>
        </is>
      </c>
      <c r="C5" s="17" t="n">
        <v>6</v>
      </c>
      <c r="D5" s="17" t="n">
        <v>4.5</v>
      </c>
      <c r="E5" s="18" t="inlineStr">
        <is>
          <r>
            <t xml:space="preserve">Robust support: SSO via SAML/OAuth/OIDC, MFA/TOTP with token capture, browser-recorded scripted logins for multi-step/JS-heavy flows, session persistence across a scan. Source: </t>
          </r>
          <r>
            <rPr>
              <color rgb="000563C1"/>
              <u val="single"/>
            </rPr>
            <t>docs.checkmarx.com/authentication-support</t>
          </r>
          <r>
            <t>, docs.checkmarx.com/sso-authentication</t>
          </r>
        </is>
      </c>
      <c r="F5" s="16" t="inlineStr">
        <is>
          <t>paper</t>
        </is>
      </c>
      <c r="G5" s="19" t="n"/>
      <c r="H5" s="20" t="n"/>
      <c r="I5" s="21" t="n"/>
      <c r="J5" s="19" t="n"/>
      <c r="K5" s="20" t="n"/>
      <c r="L5" s="21" t="n"/>
      <c r="M5" s="19" t="n"/>
      <c r="N5" s="20" t="n"/>
      <c r="O5" s="21" t="n"/>
      <c r="P5" s="19" t="n"/>
      <c r="Q5" s="20" t="n"/>
      <c r="R5" s="21" t="n"/>
      <c r="S5" s="19" t="n"/>
      <c r="T5" s="20" t="n"/>
      <c r="U5" s="21" t="n"/>
      <c r="V5" s="19" t="n"/>
      <c r="W5" s="20" t="n"/>
      <c r="X5" s="20" t="n"/>
      <c r="Y5" s="17">
        <f>IF(ISBLANK(V5),"",V5-D5)</f>
        <v/>
      </c>
      <c r="Z5" s="22" t="inlineStr">
        <is>
          <t>auth-session-handling</t>
        </is>
      </c>
      <c r="AA5" s="22" t="n">
        <v>0</v>
      </c>
      <c r="AB5" s="22">
        <f>IF(ISBLANK(V5),D5,V5)</f>
        <v/>
      </c>
    </row>
    <row r="6">
      <c r="A6" s="11" t="inlineStr">
        <is>
          <t>Safe Production Scanning</t>
        </is>
      </c>
      <c r="B6" s="11" t="inlineStr">
        <is>
          <t>Production Safety &amp; Operability</t>
        </is>
      </c>
      <c r="C6" s="6" t="n">
        <v>6</v>
      </c>
      <c r="D6" s="6" t="n">
        <v>4</v>
      </c>
      <c r="E6" s="12" t="inlineStr">
        <is>
          <r>
            <t xml:space="preserve">Explicit production-safe, non-destructive testing mode with documented rate-limit configuration for complex applications. Source: </t>
          </r>
          <r>
            <rPr>
              <color rgb="000563C1"/>
              <u val="single"/>
            </rPr>
            <t>docs.checkmarx.com/limiting-engine-scans</t>
          </r>
          <r>
            <t>, checkmarx.com/checkmarx-dast</t>
          </r>
        </is>
      </c>
      <c r="F6" s="11" t="inlineStr">
        <is>
          <t>paper</t>
        </is>
      </c>
      <c r="G6" s="13" t="n"/>
      <c r="H6" s="14" t="n"/>
      <c r="I6" s="15" t="n"/>
      <c r="J6" s="13" t="n"/>
      <c r="K6" s="14" t="n"/>
      <c r="L6" s="15" t="n"/>
      <c r="M6" s="13" t="n"/>
      <c r="N6" s="14" t="n"/>
      <c r="O6" s="15" t="n"/>
      <c r="P6" s="13" t="n"/>
      <c r="Q6" s="14" t="n"/>
      <c r="R6" s="15" t="n"/>
      <c r="S6" s="13" t="n"/>
      <c r="T6" s="14" t="n"/>
      <c r="U6" s="15" t="n"/>
      <c r="V6" s="13" t="n"/>
      <c r="W6" s="14" t="n"/>
      <c r="X6" s="14" t="n"/>
      <c r="Y6" s="6">
        <f>IF(ISBLANK(V6),"",V6-D6)</f>
        <v/>
      </c>
      <c r="Z6" t="inlineStr">
        <is>
          <t>safe-prod-scanning</t>
        </is>
      </c>
      <c r="AA6" t="n">
        <v>0</v>
      </c>
      <c r="AB6">
        <f>IF(ISBLANK(V6),D6,V6)</f>
        <v/>
      </c>
    </row>
    <row r="7">
      <c r="A7" s="16" t="inlineStr">
        <is>
          <t>API/SPA Coverage</t>
        </is>
      </c>
      <c r="B7" s="16" t="inlineStr">
        <is>
          <t>Coverage</t>
        </is>
      </c>
      <c r="C7" s="17" t="n">
        <v>5</v>
      </c>
      <c r="D7" s="17" t="n">
        <v>3.5</v>
      </c>
      <c r="E7" s="18" t="inlineStr">
        <is>
          <r>
            <t xml:space="preserve">REST/SOAP/gRPC endpoint testing confirmed, plus browser-recorded scripted logins for JS-heavy SPA auth flows -- but no confirmed GraphQL schema-introspection/fuzzing capability for Checkmarx-branded DAST specifically. Source: </t>
          </r>
          <r>
            <rPr>
              <color rgb="000563C1"/>
              <u val="single"/>
            </rPr>
            <t>checkmarx.com/checkmarx-dast</t>
          </r>
        </is>
      </c>
      <c r="F7" s="16" t="inlineStr">
        <is>
          <t>paper</t>
        </is>
      </c>
      <c r="G7" s="19" t="n"/>
      <c r="H7" s="20" t="n"/>
      <c r="I7" s="21" t="n"/>
      <c r="J7" s="19" t="n"/>
      <c r="K7" s="20" t="n"/>
      <c r="L7" s="21" t="n"/>
      <c r="M7" s="19" t="n"/>
      <c r="N7" s="20" t="n"/>
      <c r="O7" s="21" t="n"/>
      <c r="P7" s="19" t="n"/>
      <c r="Q7" s="20" t="n"/>
      <c r="R7" s="21" t="n"/>
      <c r="S7" s="19" t="n"/>
      <c r="T7" s="20" t="n"/>
      <c r="U7" s="21" t="n"/>
      <c r="V7" s="19" t="n"/>
      <c r="W7" s="20" t="n"/>
      <c r="X7" s="20" t="n"/>
      <c r="Y7" s="17">
        <f>IF(ISBLANK(V7),"",V7-D7)</f>
        <v/>
      </c>
      <c r="Z7" s="22" t="inlineStr">
        <is>
          <t>api-spa-coverage</t>
        </is>
      </c>
      <c r="AA7" s="22" t="n">
        <v>0</v>
      </c>
      <c r="AB7" s="22">
        <f>IF(ISBLANK(V7),D7,V7)</f>
        <v/>
      </c>
    </row>
    <row r="8">
      <c r="A8" s="11" t="inlineStr">
        <is>
          <t>CI/CD-Native Fit</t>
        </is>
      </c>
      <c r="B8" s="11" t="inlineStr">
        <is>
          <t>Production Safety &amp; Operability</t>
        </is>
      </c>
      <c r="C8" s="6" t="n">
        <v>5</v>
      </c>
      <c r="D8" s="6" t="n">
        <v>4.5</v>
      </c>
      <c r="E8" s="12" t="inlineStr">
        <is>
          <r>
            <t xml:space="preserve">Native plugins for major CI/CD platforms plus a CLI path for anything unsupported, with severity-threshold policy gating (e.g. fail build on Critical/High) as a documented, real control point. Source: </t>
          </r>
          <r>
            <rPr>
              <color rgb="000563C1"/>
              <u val="single"/>
            </rPr>
            <t>docs.checkmarx.com/ci-cd-integrations</t>
          </r>
          <r>
            <t>, harness.io blog on Checkmarx One + Harness STO</t>
          </r>
        </is>
      </c>
      <c r="F8" s="11" t="inlineStr">
        <is>
          <t>paper</t>
        </is>
      </c>
      <c r="G8" s="13" t="n"/>
      <c r="H8" s="14" t="n"/>
      <c r="I8" s="15" t="n"/>
      <c r="J8" s="13" t="n"/>
      <c r="K8" s="14" t="n"/>
      <c r="L8" s="15" t="n"/>
      <c r="M8" s="13" t="n"/>
      <c r="N8" s="14" t="n"/>
      <c r="O8" s="15" t="n"/>
      <c r="P8" s="13" t="n"/>
      <c r="Q8" s="14" t="n"/>
      <c r="R8" s="15" t="n"/>
      <c r="S8" s="13" t="n"/>
      <c r="T8" s="14" t="n"/>
      <c r="U8" s="15" t="n"/>
      <c r="V8" s="13" t="n"/>
      <c r="W8" s="14" t="n"/>
      <c r="X8" s="14" t="n"/>
      <c r="Y8" s="6">
        <f>IF(ISBLANK(V8),"",V8-D8)</f>
        <v/>
      </c>
      <c r="Z8" t="inlineStr">
        <is>
          <t>cicd-native-fit</t>
        </is>
      </c>
      <c r="AA8" t="n">
        <v>0</v>
      </c>
      <c r="AB8">
        <f>IF(ISBLANK(V8),D8,V8)</f>
        <v/>
      </c>
    </row>
    <row r="9">
      <c r="A9" s="16" t="inlineStr">
        <is>
          <t>Deployment Model &amp; Data Residency</t>
        </is>
      </c>
      <c r="B9" s="16" t="inlineStr">
        <is>
          <t>Deployment &amp; Data Governance</t>
        </is>
      </c>
      <c r="C9" s="17" t="n">
        <v>5</v>
      </c>
      <c r="D9" s="17" t="n">
        <v>4</v>
      </c>
      <c r="E9" s="18" t="inlineStr">
        <is>
          <r>
            <t xml:space="preserve">SaaS, on-premises, and hybrid deployment models are all supported, including air-gapped for core scanning -- but newer ASPM/Assist/MCP-server features are documented as SaaS-only, a real limitation on the on-prem/air-gapped path. Source: </t>
          </r>
          <r>
            <rPr>
              <color rgb="000563C1"/>
              <u val="single"/>
            </rPr>
            <t>securityscientist.net/blog/12-questions-and-answers-about-checkmarx-one</t>
          </r>
        </is>
      </c>
      <c r="F9" s="16" t="inlineStr">
        <is>
          <t>paper</t>
        </is>
      </c>
      <c r="G9" s="19" t="n"/>
      <c r="H9" s="20" t="n"/>
      <c r="I9" s="21" t="n"/>
      <c r="J9" s="19" t="n"/>
      <c r="K9" s="20" t="n"/>
      <c r="L9" s="21" t="n"/>
      <c r="M9" s="19" t="n"/>
      <c r="N9" s="20" t="n"/>
      <c r="O9" s="21" t="n"/>
      <c r="P9" s="19" t="n"/>
      <c r="Q9" s="20" t="n"/>
      <c r="R9" s="21" t="n"/>
      <c r="S9" s="19" t="n"/>
      <c r="T9" s="20" t="n"/>
      <c r="U9" s="21" t="n"/>
      <c r="V9" s="19" t="n"/>
      <c r="W9" s="20" t="n"/>
      <c r="X9" s="20" t="n"/>
      <c r="Y9" s="17">
        <f>IF(ISBLANK(V9),"",V9-D9)</f>
        <v/>
      </c>
      <c r="Z9" s="22" t="inlineStr">
        <is>
          <t>deployment-model-data-residency</t>
        </is>
      </c>
      <c r="AA9" s="22" t="n">
        <v>0</v>
      </c>
      <c r="AB9" s="22">
        <f>IF(ISBLANK(V9),D9,V9)</f>
        <v/>
      </c>
    </row>
    <row r="10">
      <c r="A10" s="11" t="inlineStr">
        <is>
          <t>Legacy Application &amp; Protocol Support</t>
        </is>
      </c>
      <c r="B10" s="11" t="inlineStr">
        <is>
          <t>Coverage</t>
        </is>
      </c>
      <c r="C10" s="6" t="n">
        <v>5</v>
      </c>
      <c r="D10" s="6" t="n">
        <v>4</v>
      </c>
      <c r="E10" s="12" t="inlineStr">
        <is>
          <r>
            <t xml:space="preserve">Strong SOAP coverage confirmed (REST/SOAP/gRPC endpoint testing), reinforced by the underlying ZAP-derived engine's long OSS history of SOAP support (per Checkmarx's own scripting docs, not the separate standalone ZAP project) -- but no explicit claims found for </t>
          </r>
          <r>
            <rPr>
              <color rgb="000563C1"/>
              <u val="single"/>
            </rPr>
            <t>ASP.NET</t>
          </r>
          <r>
            <t xml:space="preserve"> WebForms/JSP/mainframe-gateway support specifically. Source: checkmarx.com/checkmarx-dast, docs.checkmarx.com/scripting</t>
          </r>
        </is>
      </c>
      <c r="F10" s="11" t="inlineStr">
        <is>
          <t>paper</t>
        </is>
      </c>
      <c r="G10" s="13" t="n"/>
      <c r="H10" s="14" t="n"/>
      <c r="I10" s="15" t="n"/>
      <c r="J10" s="13" t="n"/>
      <c r="K10" s="14" t="n"/>
      <c r="L10" s="15" t="n"/>
      <c r="M10" s="13" t="n"/>
      <c r="N10" s="14" t="n"/>
      <c r="O10" s="15" t="n"/>
      <c r="P10" s="13" t="n"/>
      <c r="Q10" s="14" t="n"/>
      <c r="R10" s="15" t="n"/>
      <c r="S10" s="13" t="n"/>
      <c r="T10" s="14" t="n"/>
      <c r="U10" s="15" t="n"/>
      <c r="V10" s="13" t="n"/>
      <c r="W10" s="14" t="n"/>
      <c r="X10" s="14" t="n"/>
      <c r="Y10" s="6">
        <f>IF(ISBLANK(V10),"",V10-D10)</f>
        <v/>
      </c>
      <c r="Z10" t="inlineStr">
        <is>
          <t>legacy-app-protocol-support</t>
        </is>
      </c>
      <c r="AA10" t="n">
        <v>0</v>
      </c>
      <c r="AB10">
        <f>IF(ISBLANK(V10),D10,V10)</f>
        <v/>
      </c>
    </row>
    <row r="11">
      <c r="A11" s="16" t="inlineStr">
        <is>
          <t>Business Logic &amp; Workflow Vulnerability Detection</t>
        </is>
      </c>
      <c r="B11" s="16" t="inlineStr">
        <is>
          <t>Coverage</t>
        </is>
      </c>
      <c r="C11" s="17" t="n">
        <v>4</v>
      </c>
      <c r="D11" s="17" t="n">
        <v>4</v>
      </c>
      <c r="E11" s="18" t="inlineStr">
        <is>
          <r>
            <t xml:space="preserve">Explicit runtime business-logic testing for authorization bypass, privilege escalation, and transaction manipulation across multi-step workflows, including OWASP API Top 10 BOLA-class issues. Source: </t>
          </r>
          <r>
            <rPr>
              <color rgb="000563C1"/>
              <u val="single"/>
            </rPr>
            <t>checkmarx.com/learn/integrating-dast-and-sast-into-devsecops-for-continuous-api-security</t>
          </r>
        </is>
      </c>
      <c r="F11" s="16" t="inlineStr">
        <is>
          <t>paper</t>
        </is>
      </c>
      <c r="G11" s="19" t="n"/>
      <c r="H11" s="20" t="n"/>
      <c r="I11" s="21" t="n"/>
      <c r="J11" s="19" t="n"/>
      <c r="K11" s="20" t="n"/>
      <c r="L11" s="21" t="n"/>
      <c r="M11" s="19" t="n"/>
      <c r="N11" s="20" t="n"/>
      <c r="O11" s="21" t="n"/>
      <c r="P11" s="19" t="n"/>
      <c r="Q11" s="20" t="n"/>
      <c r="R11" s="21" t="n"/>
      <c r="S11" s="19" t="n"/>
      <c r="T11" s="20" t="n"/>
      <c r="U11" s="21" t="n"/>
      <c r="V11" s="19" t="n"/>
      <c r="W11" s="20" t="n"/>
      <c r="X11" s="20" t="n"/>
      <c r="Y11" s="17">
        <f>IF(ISBLANK(V11),"",V11-D11)</f>
        <v/>
      </c>
      <c r="Z11" s="22" t="inlineStr">
        <is>
          <t>business-logic-workflow-detection</t>
        </is>
      </c>
      <c r="AA11" s="22" t="n">
        <v>0</v>
      </c>
      <c r="AB11" s="22">
        <f>IF(ISBLANK(V11),D11,V11)</f>
        <v/>
      </c>
    </row>
    <row r="12">
      <c r="A12" s="11" t="inlineStr">
        <is>
          <t>Compliance &amp; Standards Mapping</t>
        </is>
      </c>
      <c r="B12" s="11" t="inlineStr">
        <is>
          <t>Detection Quality</t>
        </is>
      </c>
      <c r="C12" s="6" t="n">
        <v>4</v>
      </c>
      <c r="D12" s="6" t="n">
        <v>3</v>
      </c>
      <c r="E12" s="12" t="inlineStr">
        <is>
          <r>
            <t xml:space="preserve">OWASP Top 10 and OWASP API Security Top 10 mapping confirmed; no explicit PCI-DSS/GLBA/SOX/FFIEC/NYDFS regulatory-framework mapping found in DAST-specific documentation, though the platform broadly targets enterprise/regulated customers. Source: </t>
          </r>
          <r>
            <rPr>
              <color rgb="000563C1"/>
              <u val="single"/>
            </rPr>
            <t>checkmarx.com/learn/integrating-dast-and-sast-into-devsecops-for-continuous-api-security</t>
          </r>
        </is>
      </c>
      <c r="F12" s="11" t="inlineStr">
        <is>
          <t>paper</t>
        </is>
      </c>
      <c r="G12" s="13" t="n"/>
      <c r="H12" s="14" t="n"/>
      <c r="I12" s="15" t="n"/>
      <c r="J12" s="13" t="n"/>
      <c r="K12" s="14" t="n"/>
      <c r="L12" s="15" t="n"/>
      <c r="M12" s="13" t="n"/>
      <c r="N12" s="14" t="n"/>
      <c r="O12" s="15" t="n"/>
      <c r="P12" s="13" t="n"/>
      <c r="Q12" s="14" t="n"/>
      <c r="R12" s="15" t="n"/>
      <c r="S12" s="13" t="n"/>
      <c r="T12" s="14" t="n"/>
      <c r="U12" s="15" t="n"/>
      <c r="V12" s="13" t="n"/>
      <c r="W12" s="14" t="n"/>
      <c r="X12" s="14" t="n"/>
      <c r="Y12" s="6">
        <f>IF(ISBLANK(V12),"",V12-D12)</f>
        <v/>
      </c>
      <c r="Z12" t="inlineStr">
        <is>
          <t>compliance-standards-mapping</t>
        </is>
      </c>
      <c r="AA12" t="n">
        <v>0</v>
      </c>
      <c r="AB12">
        <f>IF(ISBLANK(V12),D12,V12)</f>
        <v/>
      </c>
    </row>
    <row r="13">
      <c r="A13" s="16" t="inlineStr">
        <is>
          <t>Noise / False-Positive Rate</t>
        </is>
      </c>
      <c r="B13" s="16" t="inlineStr">
        <is>
          <t>Detection Quality</t>
        </is>
      </c>
      <c r="C13" s="17" t="n">
        <v>4</v>
      </c>
      <c r="D13" s="17" t="n">
        <v>3.5</v>
      </c>
      <c r="E13" s="18" t="inlineStr">
        <is>
          <r>
            <t xml:space="preserve">Proof-based scanning validates findings before flagging, and SAST-DAST correlation is cited to reduce noise -- but the vendor's own '89% noise reduction' figure applies to platform-wide ASPM correlation across all scanners, not a DAST-isolated false-positive rate, so it's cited here with that caveat rather than at face value. Source: </t>
          </r>
          <r>
            <rPr>
              <color rgb="000563C1"/>
              <u val="single"/>
            </rPr>
            <t>checkmarx.com/blog/checkmarx-dast-for-the-ai-coding-era</t>
          </r>
        </is>
      </c>
      <c r="F13" s="16" t="inlineStr">
        <is>
          <t>paper</t>
        </is>
      </c>
      <c r="G13" s="19" t="n"/>
      <c r="H13" s="20" t="n"/>
      <c r="I13" s="21" t="n"/>
      <c r="J13" s="19" t="n"/>
      <c r="K13" s="20" t="n"/>
      <c r="L13" s="21" t="n"/>
      <c r="M13" s="19" t="n"/>
      <c r="N13" s="20" t="n"/>
      <c r="O13" s="21" t="n"/>
      <c r="P13" s="19" t="n"/>
      <c r="Q13" s="20" t="n"/>
      <c r="R13" s="21" t="n"/>
      <c r="S13" s="19" t="n"/>
      <c r="T13" s="20" t="n"/>
      <c r="U13" s="21" t="n"/>
      <c r="V13" s="19" t="n"/>
      <c r="W13" s="20" t="n"/>
      <c r="X13" s="20" t="n"/>
      <c r="Y13" s="17">
        <f>IF(ISBLANK(V13),"",V13-D13)</f>
        <v/>
      </c>
      <c r="Z13" s="22" t="inlineStr">
        <is>
          <t>false-positive-rate</t>
        </is>
      </c>
      <c r="AA13" s="22" t="n">
        <v>0</v>
      </c>
      <c r="AB13" s="22">
        <f>IF(ISBLANK(V13),D13,V13)</f>
        <v/>
      </c>
    </row>
    <row r="14">
      <c r="A14" s="11" t="inlineStr">
        <is>
          <t>Shadow/Zombie API Discovery</t>
        </is>
      </c>
      <c r="B14" s="11" t="inlineStr">
        <is>
          <t>Coverage</t>
        </is>
      </c>
      <c r="C14" s="6" t="n">
        <v>4</v>
      </c>
      <c r="D14" s="6" t="n">
        <v>4</v>
      </c>
      <c r="E14" s="12" t="inlineStr">
        <is>
          <r>
            <t xml:space="preserve">Bundled Checkmarx API Security module discovers shadow/zombie APIs via source-code scanning as code is committed -- source-level discovery rather than traffic-analysis/JS-bundle-parsing as the rubric's top tier envisions, but functionally a real continuous inventory. Source: </t>
          </r>
          <r>
            <rPr>
              <color rgb="000563C1"/>
              <u val="single"/>
            </rPr>
            <t>checkmarx.com/product/api-security</t>
          </r>
        </is>
      </c>
      <c r="F14" s="11" t="inlineStr">
        <is>
          <t>paper</t>
        </is>
      </c>
      <c r="G14" s="13" t="n"/>
      <c r="H14" s="14" t="n"/>
      <c r="I14" s="15" t="n"/>
      <c r="J14" s="13" t="n"/>
      <c r="K14" s="14" t="n"/>
      <c r="L14" s="15" t="n"/>
      <c r="M14" s="13" t="n"/>
      <c r="N14" s="14" t="n"/>
      <c r="O14" s="15" t="n"/>
      <c r="P14" s="13" t="n"/>
      <c r="Q14" s="14" t="n"/>
      <c r="R14" s="15" t="n"/>
      <c r="S14" s="13" t="n"/>
      <c r="T14" s="14" t="n"/>
      <c r="U14" s="15" t="n"/>
      <c r="V14" s="13" t="n"/>
      <c r="W14" s="14" t="n"/>
      <c r="X14" s="14" t="n"/>
      <c r="Y14" s="6">
        <f>IF(ISBLANK(V14),"",V14-D14)</f>
        <v/>
      </c>
      <c r="Z14" t="inlineStr">
        <is>
          <t>shadow-api-discovery</t>
        </is>
      </c>
      <c r="AA14" t="n">
        <v>0</v>
      </c>
      <c r="AB14">
        <f>IF(ISBLANK(V14),D14,V14)</f>
        <v/>
      </c>
    </row>
    <row r="15">
      <c r="A15" s="16" t="inlineStr">
        <is>
          <t>Triage &amp; Remediation Guidance</t>
        </is>
      </c>
      <c r="B15" s="16" t="inlineStr">
        <is>
          <t>Developer Experience</t>
        </is>
      </c>
      <c r="C15" s="17" t="n">
        <v>4</v>
      </c>
      <c r="D15" s="17" t="n">
        <v>4</v>
      </c>
      <c r="E15" s="18" t="inlineStr">
        <is>
          <r>
            <t xml:space="preserve">'Developer Assist' agentic AI tool delivers real-time, context-aware remediation guidance inside the IDE. Source: </t>
          </r>
          <r>
            <rPr>
              <color rgb="000563C1"/>
              <u val="single"/>
            </rPr>
            <t>docs.checkmarx.com</t>
          </r>
          <r>
            <t xml:space="preserve"> (Checkmarx One Developer Assist)</t>
          </r>
        </is>
      </c>
      <c r="F15" s="16" t="inlineStr">
        <is>
          <t>paper</t>
        </is>
      </c>
      <c r="G15" s="19" t="n"/>
      <c r="H15" s="20" t="n"/>
      <c r="I15" s="21" t="n"/>
      <c r="J15" s="19" t="n"/>
      <c r="K15" s="20" t="n"/>
      <c r="L15" s="21" t="n"/>
      <c r="M15" s="19" t="n"/>
      <c r="N15" s="20" t="n"/>
      <c r="O15" s="21" t="n"/>
      <c r="P15" s="19" t="n"/>
      <c r="Q15" s="20" t="n"/>
      <c r="R15" s="21" t="n"/>
      <c r="S15" s="19" t="n"/>
      <c r="T15" s="20" t="n"/>
      <c r="U15" s="21" t="n"/>
      <c r="V15" s="19" t="n"/>
      <c r="W15" s="20" t="n"/>
      <c r="X15" s="20" t="n"/>
      <c r="Y15" s="17">
        <f>IF(ISBLANK(V15),"",V15-D15)</f>
        <v/>
      </c>
      <c r="Z15" s="22" t="inlineStr">
        <is>
          <t>triage-remediation-guidance</t>
        </is>
      </c>
      <c r="AA15" s="22" t="n">
        <v>0</v>
      </c>
      <c r="AB15" s="22">
        <f>IF(ISBLANK(V15),D15,V15)</f>
        <v/>
      </c>
    </row>
    <row r="16">
      <c r="A16" s="11" t="inlineStr">
        <is>
          <t>Vulnerability Status Management</t>
        </is>
      </c>
      <c r="B16" s="11" t="inlineStr">
        <is>
          <t>Reporting &amp; Extensibility</t>
        </is>
      </c>
      <c r="C16" s="6" t="n">
        <v>4</v>
      </c>
      <c r="D16" s="6" t="n">
        <v>4.5</v>
      </c>
      <c r="E16" s="12" t="inlineStr">
        <is>
          <r>
            <t xml:space="preserve">Dedicated triage/vulnerability-management workflow, plus a policy-governed exception process requiring explicit approval and recorded reasoning for risk acceptance, backed by an AuditTrail audit log of user actions. Source: </t>
          </r>
          <r>
            <rPr>
              <color rgb="000563C1"/>
              <u val="single"/>
            </rPr>
            <t>docs.checkmarx.com/managing-triaging-vulnerabilities</t>
          </r>
        </is>
      </c>
      <c r="F16" s="11" t="inlineStr">
        <is>
          <t>paper</t>
        </is>
      </c>
      <c r="G16" s="13" t="n"/>
      <c r="H16" s="14" t="n"/>
      <c r="I16" s="15" t="n"/>
      <c r="J16" s="13" t="n"/>
      <c r="K16" s="14" t="n"/>
      <c r="L16" s="15" t="n"/>
      <c r="M16" s="13" t="n"/>
      <c r="N16" s="14" t="n"/>
      <c r="O16" s="15" t="n"/>
      <c r="P16" s="13" t="n"/>
      <c r="Q16" s="14" t="n"/>
      <c r="R16" s="15" t="n"/>
      <c r="S16" s="13" t="n"/>
      <c r="T16" s="14" t="n"/>
      <c r="U16" s="15" t="n"/>
      <c r="V16" s="13" t="n"/>
      <c r="W16" s="14" t="n"/>
      <c r="X16" s="14" t="n"/>
      <c r="Y16" s="6">
        <f>IF(ISBLANK(V16),"",V16-D16)</f>
        <v/>
      </c>
      <c r="Z16" t="inlineStr">
        <is>
          <t>vulnerability-status-management</t>
        </is>
      </c>
      <c r="AA16" t="n">
        <v>0</v>
      </c>
      <c r="AB16">
        <f>IF(ISBLANK(V16),D16,V16)</f>
        <v/>
      </c>
    </row>
    <row r="17">
      <c r="A17" s="16" t="inlineStr">
        <is>
          <t>Automated Triage / FP-Reduction Engine</t>
        </is>
      </c>
      <c r="B17" s="16" t="inlineStr">
        <is>
          <t>Detection Quality</t>
        </is>
      </c>
      <c r="C17" s="17" t="n">
        <v>3</v>
      </c>
      <c r="D17" s="17" t="n">
        <v>4</v>
      </c>
      <c r="E17" s="18" t="inlineStr">
        <is>
          <r>
            <t xml:space="preserve">SAST-DAST cross-scanner correlation automatically confirms which source-level findings are actually reachable/exploitable at runtime, reducing re-triage burden across scans -- same platform-wide-vs-DAST-isolated caveat on the specific '89%' figure as noted for false-positive-rate. Source: </t>
          </r>
          <r>
            <rPr>
              <color rgb="000563C1"/>
              <u val="single"/>
            </rPr>
            <t>checkmarx.com/blog/checkmarx-dast-for-the-ai-coding-era</t>
          </r>
        </is>
      </c>
      <c r="F17" s="16" t="inlineStr">
        <is>
          <t>paper</t>
        </is>
      </c>
      <c r="G17" s="19" t="n"/>
      <c r="H17" s="20" t="n"/>
      <c r="I17" s="21" t="n"/>
      <c r="J17" s="19" t="n"/>
      <c r="K17" s="20" t="n"/>
      <c r="L17" s="21" t="n"/>
      <c r="M17" s="19" t="n"/>
      <c r="N17" s="20" t="n"/>
      <c r="O17" s="21" t="n"/>
      <c r="P17" s="19" t="n"/>
      <c r="Q17" s="20" t="n"/>
      <c r="R17" s="21" t="n"/>
      <c r="S17" s="19" t="n"/>
      <c r="T17" s="20" t="n"/>
      <c r="U17" s="21" t="n"/>
      <c r="V17" s="19" t="n"/>
      <c r="W17" s="20" t="n"/>
      <c r="X17" s="20" t="n"/>
      <c r="Y17" s="17">
        <f>IF(ISBLANK(V17),"",V17-D17)</f>
        <v/>
      </c>
      <c r="Z17" s="22" t="inlineStr">
        <is>
          <t>automated-triage-fp-reduction</t>
        </is>
      </c>
      <c r="AA17" s="22" t="n">
        <v>0</v>
      </c>
      <c r="AB17" s="22">
        <f>IF(ISBLANK(V17),D17,V17)</f>
        <v/>
      </c>
    </row>
    <row r="18">
      <c r="A18" s="11" t="inlineStr">
        <is>
          <t>Predictability of Licensing Model</t>
        </is>
      </c>
      <c r="B18" s="11" t="inlineStr">
        <is>
          <t>Deployment &amp; Data Governance</t>
        </is>
      </c>
      <c r="C18" s="6" t="n">
        <v>3</v>
      </c>
      <c r="D18" s="6" t="n">
        <v>3</v>
      </c>
      <c r="E18" s="12" t="inlineStr">
        <is>
          <r>
            <t xml:space="preserve">Per-Contributing-Developer licensing with a documented, formulaic lines-of-code cap tied to license count -- a real, transparent scaling axis -- but base pricing itself isn't published (custom quotes only), and buyers should budget an additional 15-35% for implementation/support/training in year one. Source: </t>
          </r>
          <r>
            <rPr>
              <color rgb="000563C1"/>
              <u val="single"/>
            </rPr>
            <t>checkmarx.com/legal/checkmarx-one-license-types-and-restrictions</t>
          </r>
        </is>
      </c>
      <c r="F18" s="11" t="inlineStr">
        <is>
          <t>paper</t>
        </is>
      </c>
      <c r="G18" s="13" t="n"/>
      <c r="H18" s="14" t="n"/>
      <c r="I18" s="15" t="n"/>
      <c r="J18" s="13" t="n"/>
      <c r="K18" s="14" t="n"/>
      <c r="L18" s="15" t="n"/>
      <c r="M18" s="13" t="n"/>
      <c r="N18" s="14" t="n"/>
      <c r="O18" s="15" t="n"/>
      <c r="P18" s="13" t="n"/>
      <c r="Q18" s="14" t="n"/>
      <c r="R18" s="15" t="n"/>
      <c r="S18" s="13" t="n"/>
      <c r="T18" s="14" t="n"/>
      <c r="U18" s="15" t="n"/>
      <c r="V18" s="13" t="n"/>
      <c r="W18" s="14" t="n"/>
      <c r="X18" s="14" t="n"/>
      <c r="Y18" s="6">
        <f>IF(ISBLANK(V18),"",V18-D18)</f>
        <v/>
      </c>
      <c r="Z18" t="inlineStr">
        <is>
          <t>licensing-model-predictability</t>
        </is>
      </c>
      <c r="AA18" t="n">
        <v>0</v>
      </c>
      <c r="AB18">
        <f>IF(ISBLANK(V18),D18,V18)</f>
        <v/>
      </c>
    </row>
    <row r="19">
      <c r="A19" s="16" t="inlineStr">
        <is>
          <t>Multi-Tenancy &amp; Access Control</t>
        </is>
      </c>
      <c r="B19" s="16" t="inlineStr">
        <is>
          <t>Deployment &amp; Data Governance</t>
        </is>
      </c>
      <c r="C19" s="17" t="n">
        <v>3</v>
      </c>
      <c r="D19" s="17" t="n">
        <v>4</v>
      </c>
      <c r="E19" s="18" t="inlineStr">
        <is>
          <r>
            <t xml:space="preserve">Custom roles beyond the predefined set, project access scoped to Team membership (business-unit-style isolation), and an AuditTrail table logging access-control user actions. Source: </t>
          </r>
          <r>
            <rPr>
              <color rgb="000563C1"/>
              <u val="single"/>
            </rPr>
            <t>docs.checkmarx.com/access-control-overview</t>
          </r>
        </is>
      </c>
      <c r="F19" s="16" t="inlineStr">
        <is>
          <t>paper</t>
        </is>
      </c>
      <c r="G19" s="19" t="n"/>
      <c r="H19" s="20" t="n"/>
      <c r="I19" s="21" t="n"/>
      <c r="J19" s="19" t="n"/>
      <c r="K19" s="20" t="n"/>
      <c r="L19" s="21" t="n"/>
      <c r="M19" s="19" t="n"/>
      <c r="N19" s="20" t="n"/>
      <c r="O19" s="21" t="n"/>
      <c r="P19" s="19" t="n"/>
      <c r="Q19" s="20" t="n"/>
      <c r="R19" s="21" t="n"/>
      <c r="S19" s="19" t="n"/>
      <c r="T19" s="20" t="n"/>
      <c r="U19" s="21" t="n"/>
      <c r="V19" s="19" t="n"/>
      <c r="W19" s="20" t="n"/>
      <c r="X19" s="20" t="n"/>
      <c r="Y19" s="17">
        <f>IF(ISBLANK(V19),"",V19-D19)</f>
        <v/>
      </c>
      <c r="Z19" s="22" t="inlineStr">
        <is>
          <t>multi-tenancy-access-control</t>
        </is>
      </c>
      <c r="AA19" s="22" t="n">
        <v>0</v>
      </c>
      <c r="AB19" s="22">
        <f>IF(ISBLANK(V19),D19,V19)</f>
        <v/>
      </c>
    </row>
    <row r="20">
      <c r="A20" s="11" t="inlineStr">
        <is>
          <t>Setup &amp; Onboarding Friction</t>
        </is>
      </c>
      <c r="B20" s="11" t="inlineStr">
        <is>
          <t>Developer Experience</t>
        </is>
      </c>
      <c r="C20" s="6" t="n">
        <v>3</v>
      </c>
      <c r="D20" s="6" t="n">
        <v>4.5</v>
      </c>
      <c r="E20" s="12" t="inlineStr">
        <is>
          <r>
            <t xml:space="preserve">Vendor claims onboarding new apps 'in minutes, not days' with a three-click setup, pre-built scan templates, an environment setup wizard, and built-in tunneling for internal apps without firewall reconfiguration. Source: </t>
          </r>
          <r>
            <rPr>
              <color rgb="000563C1"/>
              <u val="single"/>
            </rPr>
            <t>checkmarx.com/checkmarx-dast</t>
          </r>
          <r>
            <t>, docs.checkmarx.com/dast-environment-setup-wizard</t>
          </r>
        </is>
      </c>
      <c r="F20" s="11" t="inlineStr">
        <is>
          <t>paper</t>
        </is>
      </c>
      <c r="G20" s="13" t="n"/>
      <c r="H20" s="14" t="n"/>
      <c r="I20" s="15" t="n"/>
      <c r="J20" s="13" t="n"/>
      <c r="K20" s="14" t="n"/>
      <c r="L20" s="15" t="n"/>
      <c r="M20" s="13" t="n"/>
      <c r="N20" s="14" t="n"/>
      <c r="O20" s="15" t="n"/>
      <c r="P20" s="13" t="n"/>
      <c r="Q20" s="14" t="n"/>
      <c r="R20" s="15" t="n"/>
      <c r="S20" s="13" t="n"/>
      <c r="T20" s="14" t="n"/>
      <c r="U20" s="15" t="n"/>
      <c r="V20" s="13" t="n"/>
      <c r="W20" s="14" t="n"/>
      <c r="X20" s="14" t="n"/>
      <c r="Y20" s="6">
        <f>IF(ISBLANK(V20),"",V20-D20)</f>
        <v/>
      </c>
      <c r="Z20" t="inlineStr">
        <is>
          <t>setup-onboarding-friction</t>
        </is>
      </c>
      <c r="AA20" t="n">
        <v>0</v>
      </c>
      <c r="AB20">
        <f>IF(ISBLANK(V20),D20,V20)</f>
        <v/>
      </c>
    </row>
    <row r="21">
      <c r="A21" s="16" t="inlineStr">
        <is>
          <t>Traditional Stateful Web Crawling</t>
        </is>
      </c>
      <c r="B21" s="16" t="inlineStr">
        <is>
          <t>Coverage</t>
        </is>
      </c>
      <c r="C21" s="17" t="n">
        <v>3</v>
      </c>
      <c r="D21" s="17" t="n">
        <v>4</v>
      </c>
      <c r="E21" s="18" t="inlineStr">
        <is>
          <r>
            <t xml:space="preserve">Explicit handling of multi-step forms and custom business processes, maintaining session state (tokens/cookies/SSO flows) across the full navigation sequence rather than treating each page independently. Source: </t>
          </r>
          <r>
            <rPr>
              <color rgb="000563C1"/>
              <u val="single"/>
            </rPr>
            <t>checkmarx.com/learn/dast</t>
          </r>
          <r>
            <t xml:space="preserve"> pages</t>
          </r>
        </is>
      </c>
      <c r="F21" s="16" t="inlineStr">
        <is>
          <t>paper</t>
        </is>
      </c>
      <c r="G21" s="19" t="n"/>
      <c r="H21" s="20" t="n"/>
      <c r="I21" s="21" t="n"/>
      <c r="J21" s="19" t="n"/>
      <c r="K21" s="20" t="n"/>
      <c r="L21" s="21" t="n"/>
      <c r="M21" s="19" t="n"/>
      <c r="N21" s="20" t="n"/>
      <c r="O21" s="21" t="n"/>
      <c r="P21" s="19" t="n"/>
      <c r="Q21" s="20" t="n"/>
      <c r="R21" s="21" t="n"/>
      <c r="S21" s="19" t="n"/>
      <c r="T21" s="20" t="n"/>
      <c r="U21" s="21" t="n"/>
      <c r="V21" s="19" t="n"/>
      <c r="W21" s="20" t="n"/>
      <c r="X21" s="20" t="n"/>
      <c r="Y21" s="17">
        <f>IF(ISBLANK(V21),"",V21-D21)</f>
        <v/>
      </c>
      <c r="Z21" s="22" t="inlineStr">
        <is>
          <t>stateful-web-crawling</t>
        </is>
      </c>
      <c r="AA21" s="22" t="n">
        <v>0</v>
      </c>
      <c r="AB21" s="22">
        <f>IF(ISBLANK(V21),D21,V21)</f>
        <v/>
      </c>
    </row>
    <row r="22">
      <c r="A22" s="11" t="inlineStr">
        <is>
          <t>Vendor Security Posture</t>
        </is>
      </c>
      <c r="B22" s="11" t="inlineStr">
        <is>
          <t>Deployment &amp; Data Governance</t>
        </is>
      </c>
      <c r="C22" s="6" t="n">
        <v>3</v>
      </c>
      <c r="D22" s="6" t="n">
        <v>4.5</v>
      </c>
      <c r="E22" s="12" t="inlineStr">
        <is>
          <r>
            <t xml:space="preserve">SOC 2 Type II certified (independent annual audit, report available on request), ISO/IEC 27001:2022 certified, and FedRAMP Authorized -- strong, though the SOC 2 report is available on request rather than proactively published, which is why this stops short of the rubric's top tier. Source: </t>
          </r>
          <r>
            <rPr>
              <color rgb="000563C1"/>
              <u val="single"/>
            </rPr>
            <t>checkmarx.com/trust</t>
          </r>
        </is>
      </c>
      <c r="F22" s="11" t="inlineStr">
        <is>
          <t>paper</t>
        </is>
      </c>
      <c r="G22" s="13" t="n"/>
      <c r="H22" s="14" t="n"/>
      <c r="I22" s="15" t="n"/>
      <c r="J22" s="13" t="n"/>
      <c r="K22" s="14" t="n"/>
      <c r="L22" s="15" t="n"/>
      <c r="M22" s="13" t="n"/>
      <c r="N22" s="14" t="n"/>
      <c r="O22" s="15" t="n"/>
      <c r="P22" s="13" t="n"/>
      <c r="Q22" s="14" t="n"/>
      <c r="R22" s="15" t="n"/>
      <c r="S22" s="13" t="n"/>
      <c r="T22" s="14" t="n"/>
      <c r="U22" s="15" t="n"/>
      <c r="V22" s="13" t="n"/>
      <c r="W22" s="14" t="n"/>
      <c r="X22" s="14" t="n"/>
      <c r="Y22" s="6">
        <f>IF(ISBLANK(V22),"",V22-D22)</f>
        <v/>
      </c>
      <c r="Z22" t="inlineStr">
        <is>
          <t>vendor-security-posture</t>
        </is>
      </c>
      <c r="AA22" t="n">
        <v>0</v>
      </c>
      <c r="AB22">
        <f>IF(ISBLANK(V22),D22,V22)</f>
        <v/>
      </c>
    </row>
    <row r="23">
      <c r="A23" s="16" t="inlineStr">
        <is>
          <t>Sensitive Financial Data Exposure Detection</t>
        </is>
      </c>
      <c r="B23" s="16" t="inlineStr">
        <is>
          <t>Detection Quality</t>
        </is>
      </c>
      <c r="C23" s="17" t="n">
        <v>2</v>
      </c>
      <c r="D23" s="17" t="n">
        <v>1</v>
      </c>
      <c r="E23" s="18" t="inlineStr">
        <is>
          <r>
            <t xml:space="preserve">Confirmed absent: Checkmarx's only sensitive-pattern-detection product is Secrets Detection, explicitly scoped to '170+ types of login credentials, access tokens, encryption keys, API keys, SSH keys, webhook URLs' -- credentials/secrets, not financial PII (account/routing numbers, card PANs, SSNs) in application responses. Independently gap-checked and confirmed by a fresh reviewer. Source: </t>
          </r>
          <r>
            <rPr>
              <color rgb="000563C1"/>
              <u val="single"/>
            </rPr>
            <t>docs.checkmarx.com/secret-detection</t>
          </r>
        </is>
      </c>
      <c r="F23" s="16" t="inlineStr">
        <is>
          <t>paper</t>
        </is>
      </c>
      <c r="G23" s="19" t="n"/>
      <c r="H23" s="20" t="n"/>
      <c r="I23" s="21" t="n"/>
      <c r="J23" s="19" t="n"/>
      <c r="K23" s="20" t="n"/>
      <c r="L23" s="21" t="n"/>
      <c r="M23" s="19" t="n"/>
      <c r="N23" s="20" t="n"/>
      <c r="O23" s="21" t="n"/>
      <c r="P23" s="19" t="n"/>
      <c r="Q23" s="20" t="n"/>
      <c r="R23" s="21" t="n"/>
      <c r="S23" s="19" t="n"/>
      <c r="T23" s="20" t="n"/>
      <c r="U23" s="21" t="n"/>
      <c r="V23" s="19" t="n"/>
      <c r="W23" s="20" t="n"/>
      <c r="X23" s="20" t="n"/>
      <c r="Y23" s="17">
        <f>IF(ISBLANK(V23),"",V23-D23)</f>
        <v/>
      </c>
      <c r="Z23" s="22" t="inlineStr">
        <is>
          <t>sensitive-financial-data-exposure</t>
        </is>
      </c>
      <c r="AA23" s="22" t="n">
        <v>0</v>
      </c>
      <c r="AB23" s="22">
        <f>IF(ISBLANK(V23),D23,V23)</f>
        <v/>
      </c>
    </row>
    <row r="24">
      <c r="A24" s="11" t="inlineStr">
        <is>
          <t>ASPM Integration</t>
        </is>
      </c>
      <c r="B24" s="11" t="inlineStr">
        <is>
          <t>Reporting &amp; Extensibility</t>
        </is>
      </c>
      <c r="C24" s="6" t="n">
        <v>2</v>
      </c>
      <c r="D24" s="6" t="n">
        <v>4</v>
      </c>
      <c r="E24" s="12" t="inlineStr">
        <is>
          <r>
            <t xml:space="preserve">Confirmed native, documented integration with DefectDojo, a major third-party ASPM platform -- in addition to Checkmarx's own built-in ASPM (Application Risk Management), which the rubric's criterion doesn't directly credit since it's about hooks into other ASPM platforms specifically. Source: </t>
          </r>
          <r>
            <rPr>
              <color rgb="000563C1"/>
              <u val="single"/>
            </rPr>
            <t>defectdojo.com/integrations/checkmarx-one</t>
          </r>
        </is>
      </c>
      <c r="F24" s="11" t="inlineStr">
        <is>
          <t>paper</t>
        </is>
      </c>
      <c r="G24" s="13" t="n"/>
      <c r="H24" s="14" t="n"/>
      <c r="I24" s="15" t="n"/>
      <c r="J24" s="13" t="n"/>
      <c r="K24" s="14" t="n"/>
      <c r="L24" s="15" t="n"/>
      <c r="M24" s="13" t="n"/>
      <c r="N24" s="14" t="n"/>
      <c r="O24" s="15" t="n"/>
      <c r="P24" s="13" t="n"/>
      <c r="Q24" s="14" t="n"/>
      <c r="R24" s="15" t="n"/>
      <c r="S24" s="13" t="n"/>
      <c r="T24" s="14" t="n"/>
      <c r="U24" s="15" t="n"/>
      <c r="V24" s="13" t="n"/>
      <c r="W24" s="14" t="n"/>
      <c r="X24" s="14" t="n"/>
      <c r="Y24" s="6">
        <f>IF(ISBLANK(V24),"",V24-D24)</f>
        <v/>
      </c>
      <c r="Z24" t="inlineStr">
        <is>
          <t>aspm-integration</t>
        </is>
      </c>
      <c r="AA24" t="n">
        <v>0</v>
      </c>
      <c r="AB24">
        <f>IF(ISBLANK(V24),D24,V24)</f>
        <v/>
      </c>
    </row>
    <row r="25">
      <c r="A25" s="16" t="inlineStr">
        <is>
          <t>Finding Validation / Proof-of-Exploit</t>
        </is>
      </c>
      <c r="B25" s="16" t="inlineStr">
        <is>
          <t>Detection Quality</t>
        </is>
      </c>
      <c r="C25" s="17" t="n">
        <v>2</v>
      </c>
      <c r="D25" s="17" t="n">
        <v>4</v>
      </c>
      <c r="E25" s="18" t="inlineStr">
        <is>
          <r>
            <t xml:space="preserve">Proof-based scanning validates findings and flags only exploitable vulnerabilities with contextual evidence; SAST-DAST correlation additionally confirms which source-level findings are actually reachable/exploitable at runtime. Source: </t>
          </r>
          <r>
            <rPr>
              <color rgb="000563C1"/>
              <u val="single"/>
            </rPr>
            <t>docs.checkmarx.com/checkmarx-dast</t>
          </r>
        </is>
      </c>
      <c r="F25" s="16" t="inlineStr">
        <is>
          <t>paper</t>
        </is>
      </c>
      <c r="G25" s="19" t="n"/>
      <c r="H25" s="20" t="n"/>
      <c r="I25" s="21" t="n"/>
      <c r="J25" s="19" t="n"/>
      <c r="K25" s="20" t="n"/>
      <c r="L25" s="21" t="n"/>
      <c r="M25" s="19" t="n"/>
      <c r="N25" s="20" t="n"/>
      <c r="O25" s="21" t="n"/>
      <c r="P25" s="19" t="n"/>
      <c r="Q25" s="20" t="n"/>
      <c r="R25" s="21" t="n"/>
      <c r="S25" s="19" t="n"/>
      <c r="T25" s="20" t="n"/>
      <c r="U25" s="21" t="n"/>
      <c r="V25" s="19" t="n"/>
      <c r="W25" s="20" t="n"/>
      <c r="X25" s="20" t="n"/>
      <c r="Y25" s="17">
        <f>IF(ISBLANK(V25),"",V25-D25)</f>
        <v/>
      </c>
      <c r="Z25" s="22" t="inlineStr">
        <is>
          <t>finding-validation-proof-of-exploit</t>
        </is>
      </c>
      <c r="AA25" s="22" t="n">
        <v>0</v>
      </c>
      <c r="AB25" s="22">
        <f>IF(ISBLANK(V25),D25,V25)</f>
        <v/>
      </c>
    </row>
    <row r="26">
      <c r="A26" s="11" t="inlineStr">
        <is>
          <t>Historical Risk Trend Dashboards</t>
        </is>
      </c>
      <c r="B26" s="11" t="inlineStr">
        <is>
          <t>Reporting &amp; Extensibility</t>
        </is>
      </c>
      <c r="C26" s="6" t="n">
        <v>2</v>
      </c>
      <c r="D26" s="6" t="n">
        <v>4.5</v>
      </c>
      <c r="E26" s="12" t="inlineStr">
        <is>
          <r>
            <t xml:space="preserve">Executive Overview Dashboard shows vulnerability density over time with a separate trend line per severity level, plus a Totals/Over-Time toggle for executive-level reporting. Source: </t>
          </r>
          <r>
            <rPr>
              <color rgb="000563C1"/>
              <u val="single"/>
            </rPr>
            <t>docs.checkmarx.com/executive-overview-dashboard</t>
          </r>
        </is>
      </c>
      <c r="F26" s="11" t="inlineStr">
        <is>
          <t>paper</t>
        </is>
      </c>
      <c r="G26" s="13" t="n"/>
      <c r="H26" s="14" t="n"/>
      <c r="I26" s="15" t="n"/>
      <c r="J26" s="13" t="n"/>
      <c r="K26" s="14" t="n"/>
      <c r="L26" s="15" t="n"/>
      <c r="M26" s="13" t="n"/>
      <c r="N26" s="14" t="n"/>
      <c r="O26" s="15" t="n"/>
      <c r="P26" s="13" t="n"/>
      <c r="Q26" s="14" t="n"/>
      <c r="R26" s="15" t="n"/>
      <c r="S26" s="13" t="n"/>
      <c r="T26" s="14" t="n"/>
      <c r="U26" s="15" t="n"/>
      <c r="V26" s="13" t="n"/>
      <c r="W26" s="14" t="n"/>
      <c r="X26" s="14" t="n"/>
      <c r="Y26" s="6">
        <f>IF(ISBLANK(V26),"",V26-D26)</f>
        <v/>
      </c>
      <c r="Z26" t="inlineStr">
        <is>
          <t>historical-risk-trend-dashboards</t>
        </is>
      </c>
      <c r="AA26" t="n">
        <v>0</v>
      </c>
      <c r="AB26">
        <f>IF(ISBLANK(V26),D26,V26)</f>
        <v/>
      </c>
    </row>
    <row r="27">
      <c r="A27" s="16" t="inlineStr">
        <is>
          <t>Reporting Quality / Exportability</t>
        </is>
      </c>
      <c r="B27" s="16" t="inlineStr">
        <is>
          <t>Reporting &amp; Extensibility</t>
        </is>
      </c>
      <c r="C27" s="17" t="n">
        <v>2</v>
      </c>
      <c r="D27" s="17" t="n">
        <v>4</v>
      </c>
      <c r="E27" s="18" t="inlineStr">
        <is>
          <r>
            <t xml:space="preserve">CSV export with Vulnerability Name/Severity/Status/Aging fields, plus direct Jira/ServiceNow/Slack/Teams integration -- no confirmed white-label branding option for external auditors. Source: </t>
          </r>
          <r>
            <rPr>
              <color rgb="000563C1"/>
              <u val="single"/>
            </rPr>
            <t>docs.checkmarx.com/global-csv-result-reports</t>
          </r>
          <r>
            <t>, docs.checkmarx.com/checkmarx-one-reporting</t>
          </r>
        </is>
      </c>
      <c r="F27" s="16" t="inlineStr">
        <is>
          <t>paper</t>
        </is>
      </c>
      <c r="G27" s="19" t="n"/>
      <c r="H27" s="20" t="n"/>
      <c r="I27" s="21" t="n"/>
      <c r="J27" s="19" t="n"/>
      <c r="K27" s="20" t="n"/>
      <c r="L27" s="21" t="n"/>
      <c r="M27" s="19" t="n"/>
      <c r="N27" s="20" t="n"/>
      <c r="O27" s="21" t="n"/>
      <c r="P27" s="19" t="n"/>
      <c r="Q27" s="20" t="n"/>
      <c r="R27" s="21" t="n"/>
      <c r="S27" s="19" t="n"/>
      <c r="T27" s="20" t="n"/>
      <c r="U27" s="21" t="n"/>
      <c r="V27" s="19" t="n"/>
      <c r="W27" s="20" t="n"/>
      <c r="X27" s="20" t="n"/>
      <c r="Y27" s="17">
        <f>IF(ISBLANK(V27),"",V27-D27)</f>
        <v/>
      </c>
      <c r="Z27" s="22" t="inlineStr">
        <is>
          <t>reporting-exportability</t>
        </is>
      </c>
      <c r="AA27" s="22" t="n">
        <v>0</v>
      </c>
      <c r="AB27" s="22">
        <f>IF(ISBLANK(V27),D27,V27)</f>
        <v/>
      </c>
    </row>
    <row r="28">
      <c r="A28" s="11" t="inlineStr">
        <is>
          <t>Scan Performance &amp; Scalability</t>
        </is>
      </c>
      <c r="B28" s="11" t="inlineStr">
        <is>
          <t>Production Safety &amp; Operability</t>
        </is>
      </c>
      <c r="C28" s="6" t="n">
        <v>2</v>
      </c>
      <c r="D28" s="6" t="n">
        <v>3.5</v>
      </c>
      <c r="E28" s="12" t="inlineStr">
        <is>
          <r>
            <t xml:space="preserve">Vendor claims handling scans across 'dozens of microservices in parallel' with configurable resource throttling, and cites 2.1B lines of code scanned monthly platform-wide -- but no independently benchmarked DAST-specific scan-speed number found. Source: </t>
          </r>
          <r>
            <rPr>
              <color rgb="000563C1"/>
              <u val="single"/>
            </rPr>
            <t>checkmarx.com/checkmarx-dast</t>
          </r>
        </is>
      </c>
      <c r="F28" s="11" t="inlineStr">
        <is>
          <t>paper</t>
        </is>
      </c>
      <c r="G28" s="13" t="n"/>
      <c r="H28" s="14" t="n"/>
      <c r="I28" s="15" t="n"/>
      <c r="J28" s="13" t="n"/>
      <c r="K28" s="14" t="n"/>
      <c r="L28" s="15" t="n"/>
      <c r="M28" s="13" t="n"/>
      <c r="N28" s="14" t="n"/>
      <c r="O28" s="15" t="n"/>
      <c r="P28" s="13" t="n"/>
      <c r="Q28" s="14" t="n"/>
      <c r="R28" s="15" t="n"/>
      <c r="S28" s="13" t="n"/>
      <c r="T28" s="14" t="n"/>
      <c r="U28" s="15" t="n"/>
      <c r="V28" s="13" t="n"/>
      <c r="W28" s="14" t="n"/>
      <c r="X28" s="14" t="n"/>
      <c r="Y28" s="6">
        <f>IF(ISBLANK(V28),"",V28-D28)</f>
        <v/>
      </c>
      <c r="Z28" t="inlineStr">
        <is>
          <t>scan-performance-scalability</t>
        </is>
      </c>
      <c r="AA28" t="n">
        <v>0</v>
      </c>
      <c r="AB28">
        <f>IF(ISBLANK(V28),D28,V28)</f>
        <v/>
      </c>
    </row>
    <row r="29">
      <c r="A29" s="16" t="inlineStr">
        <is>
          <t>Ticketing &amp; Collaboration Integration</t>
        </is>
      </c>
      <c r="B29" s="16" t="inlineStr">
        <is>
          <t>Reporting &amp; Extensibility</t>
        </is>
      </c>
      <c r="C29" s="17" t="n">
        <v>2</v>
      </c>
      <c r="D29" s="17" t="n">
        <v>4</v>
      </c>
      <c r="E29" s="18" t="inlineStr">
        <is>
          <r>
            <t xml:space="preserve">Native bidirectional Jira integration (automated create/update/close by severity), plus Slack/Teams alerting; ServiceNow path exists but is less direct (via a DefectDojo bridge rather than a first-party Checkmarx connector). Source: </t>
          </r>
          <r>
            <rPr>
              <color rgb="000563C1"/>
              <u val="single"/>
            </rPr>
            <t>docs.checkmarx.com/jira</t>
          </r>
        </is>
      </c>
      <c r="F29" s="16" t="inlineStr">
        <is>
          <t>paper</t>
        </is>
      </c>
      <c r="G29" s="19" t="n"/>
      <c r="H29" s="20" t="n"/>
      <c r="I29" s="21" t="n"/>
      <c r="J29" s="19" t="n"/>
      <c r="K29" s="20" t="n"/>
      <c r="L29" s="21" t="n"/>
      <c r="M29" s="19" t="n"/>
      <c r="N29" s="20" t="n"/>
      <c r="O29" s="21" t="n"/>
      <c r="P29" s="19" t="n"/>
      <c r="Q29" s="20" t="n"/>
      <c r="R29" s="21" t="n"/>
      <c r="S29" s="19" t="n"/>
      <c r="T29" s="20" t="n"/>
      <c r="U29" s="21" t="n"/>
      <c r="V29" s="19" t="n"/>
      <c r="W29" s="20" t="n"/>
      <c r="X29" s="20" t="n"/>
      <c r="Y29" s="17">
        <f>IF(ISBLANK(V29),"",V29-D29)</f>
        <v/>
      </c>
      <c r="Z29" s="22" t="inlineStr">
        <is>
          <t>ticketing-collaboration-integration</t>
        </is>
      </c>
      <c r="AA29" s="22" t="n">
        <v>0</v>
      </c>
      <c r="AB29" s="22">
        <f>IF(ISBLANK(V29),D29,V29)</f>
        <v/>
      </c>
    </row>
    <row r="30">
      <c r="A30" s="11" t="inlineStr">
        <is>
          <t>SIEM/SOAR Integration</t>
        </is>
      </c>
      <c r="B30" s="11" t="inlineStr">
        <is>
          <t>Reporting &amp; Extensibility</t>
        </is>
      </c>
      <c r="C30" s="6" t="n">
        <v>1</v>
      </c>
      <c r="D30" s="6" t="n">
        <v>1</v>
      </c>
      <c r="E30" s="12" t="inlineStr">
        <is>
          <r>
            <t xml:space="preserve">Confirmed absent: Checkmarx's official integrations pages (marketing page and the canonical </t>
          </r>
          <r>
            <rPr>
              <color rgb="000563C1"/>
              <u val="single"/>
            </rPr>
            <t>docs.checkmarx.com</t>
          </r>
          <r>
            <t xml:space="preserve"> integrations doc) list SCM, CI/CD, IDE, ticketing, registry, and CNAPP integrations, but no SIEM (Splunk/QRadar/Sentinel) or SOAR (Cortex XSOAR) platform, and no CEF/syslog export capability. Independently gap-checked and confirmed by a fresh reviewer. Source: checkmarx.com/why-checkmarx/integrations, docs.checkmarx.com/checkmarx-one-integrations</t>
          </r>
        </is>
      </c>
      <c r="F30" s="11" t="inlineStr">
        <is>
          <t>paper</t>
        </is>
      </c>
      <c r="G30" s="13" t="n"/>
      <c r="H30" s="14" t="n"/>
      <c r="I30" s="15" t="n"/>
      <c r="J30" s="13" t="n"/>
      <c r="K30" s="14" t="n"/>
      <c r="L30" s="15" t="n"/>
      <c r="M30" s="13" t="n"/>
      <c r="N30" s="14" t="n"/>
      <c r="O30" s="15" t="n"/>
      <c r="P30" s="13" t="n"/>
      <c r="Q30" s="14" t="n"/>
      <c r="R30" s="15" t="n"/>
      <c r="S30" s="13" t="n"/>
      <c r="T30" s="14" t="n"/>
      <c r="U30" s="15" t="n"/>
      <c r="V30" s="13" t="n"/>
      <c r="W30" s="14" t="n"/>
      <c r="X30" s="14" t="n"/>
      <c r="Y30" s="6">
        <f>IF(ISBLANK(V30),"",V30-D30)</f>
        <v/>
      </c>
      <c r="Z30" t="inlineStr">
        <is>
          <t>siem-soar-integration</t>
        </is>
      </c>
      <c r="AA30" t="n">
        <v>0</v>
      </c>
      <c r="AB30">
        <f>IF(ISBLANK(V30),D30,V30)</f>
        <v/>
      </c>
    </row>
    <row r="31">
      <c r="A31" s="16" t="inlineStr">
        <is>
          <t>Third-Party/Partner API Risk Assessment</t>
        </is>
      </c>
      <c r="B31" s="16" t="inlineStr">
        <is>
          <t>Coverage</t>
        </is>
      </c>
      <c r="C31" s="17" t="n">
        <v>1</v>
      </c>
      <c r="D31" s="17" t="n">
        <v>1.5</v>
      </c>
      <c r="E31" s="18" t="inlineStr">
        <is>
          <r>
            <t xml:space="preserve">Inconclusive after independent gap-check: the related Checkmarx API Security module has generic 'open banking' marketing copy about helping 'banks and their partners discover, control, and mitigate API security risk,' but no dedicated feature or vendor-risk-assessment-formatted output distinguishing partner/third-party endpoints was found in product documentation. Treated as unconfirmed rather than a firm capability. Source: </t>
          </r>
          <r>
            <rPr>
              <color rgb="000563C1"/>
              <u val="single"/>
            </rPr>
            <t>checkmarx.com/product/api-security</t>
          </r>
        </is>
      </c>
      <c r="F31" s="16" t="inlineStr">
        <is>
          <t>paper</t>
        </is>
      </c>
      <c r="G31" s="19" t="n"/>
      <c r="H31" s="20" t="n"/>
      <c r="I31" s="21" t="n"/>
      <c r="J31" s="19" t="n"/>
      <c r="K31" s="20" t="n"/>
      <c r="L31" s="21" t="n"/>
      <c r="M31" s="19" t="n"/>
      <c r="N31" s="20" t="n"/>
      <c r="O31" s="21" t="n"/>
      <c r="P31" s="19" t="n"/>
      <c r="Q31" s="20" t="n"/>
      <c r="R31" s="21" t="n"/>
      <c r="S31" s="19" t="n"/>
      <c r="T31" s="20" t="n"/>
      <c r="U31" s="21" t="n"/>
      <c r="V31" s="19" t="n"/>
      <c r="W31" s="20" t="n"/>
      <c r="X31" s="20" t="n"/>
      <c r="Y31" s="17">
        <f>IF(ISBLANK(V31),"",V31-D31)</f>
        <v/>
      </c>
      <c r="Z31" s="22" t="inlineStr">
        <is>
          <t>third-party-partner-api-risk</t>
        </is>
      </c>
      <c r="AA31" s="22" t="n">
        <v>0</v>
      </c>
      <c r="AB31" s="22">
        <f>IF(ISBLANK(V31),D31,V31)</f>
        <v/>
      </c>
    </row>
    <row r="32">
      <c r="A32" s="11" t="inlineStr">
        <is>
          <t>Asset Discovery &amp; Inventory Tracking</t>
        </is>
      </c>
      <c r="B32" s="11" t="inlineStr">
        <is>
          <t>Coverage</t>
        </is>
      </c>
      <c r="C32" s="6" t="n">
        <v>1</v>
      </c>
      <c r="D32" s="6" t="n">
        <v>3</v>
      </c>
      <c r="E32" s="12" t="inlineStr">
        <is>
          <r>
            <t xml:space="preserve">Checkmarx API Security inventories APIs as code is committed across repos -- strong at the API level, but scoped to code-known applications rather than the rubric's top tier of scanning public IP ranges/domains to surface rogue unmapped internet-facing apps. Source: </t>
          </r>
          <r>
            <rPr>
              <color rgb="000563C1"/>
              <u val="single"/>
            </rPr>
            <t>checkmarx.com/product/api-security</t>
          </r>
        </is>
      </c>
      <c r="F32" s="11" t="inlineStr">
        <is>
          <t>paper</t>
        </is>
      </c>
      <c r="G32" s="13" t="n"/>
      <c r="H32" s="14" t="n"/>
      <c r="I32" s="15" t="n"/>
      <c r="J32" s="13" t="n"/>
      <c r="K32" s="14" t="n"/>
      <c r="L32" s="15" t="n"/>
      <c r="M32" s="13" t="n"/>
      <c r="N32" s="14" t="n"/>
      <c r="O32" s="15" t="n"/>
      <c r="P32" s="13" t="n"/>
      <c r="Q32" s="14" t="n"/>
      <c r="R32" s="15" t="n"/>
      <c r="S32" s="13" t="n"/>
      <c r="T32" s="14" t="n"/>
      <c r="U32" s="15" t="n"/>
      <c r="V32" s="13" t="n"/>
      <c r="W32" s="14" t="n"/>
      <c r="X32" s="14" t="n"/>
      <c r="Y32" s="6">
        <f>IF(ISBLANK(V32),"",V32-D32)</f>
        <v/>
      </c>
      <c r="Z32" t="inlineStr">
        <is>
          <t>asset-discovery-inventory</t>
        </is>
      </c>
      <c r="AA32" t="n">
        <v>0</v>
      </c>
      <c r="AB32">
        <f>IF(ISBLANK(V32),D32,V32)</f>
        <v/>
      </c>
    </row>
    <row r="33">
      <c r="A33" s="16" t="inlineStr">
        <is>
          <t>Extensibility / Custom Rules</t>
        </is>
      </c>
      <c r="B33" s="16" t="inlineStr">
        <is>
          <t>Reporting &amp; Extensibility</t>
        </is>
      </c>
      <c r="C33" s="17" t="n">
        <v>1</v>
      </c>
      <c r="D33" s="17" t="n">
        <v>3</v>
      </c>
      <c r="E33" s="18" t="inlineStr">
        <is>
          <r>
            <t xml:space="preserve">Custom scripting via ZEST/GraalJS engines (inherited from the underlying ZAP-derived engine per Checkmarx's own docs) allows tailored scan logic -- but script jobs are documented as blocked on the primary Checkmarx One SaaS product for security reasons, supported only via the separate DAST-CLI tool. Source: </t>
          </r>
          <r>
            <rPr>
              <color rgb="000563C1"/>
              <u val="single"/>
            </rPr>
            <t>docs.checkmarx.com/scripting</t>
          </r>
        </is>
      </c>
      <c r="F33" s="16" t="inlineStr">
        <is>
          <t>paper</t>
        </is>
      </c>
      <c r="G33" s="19" t="n"/>
      <c r="H33" s="20" t="n"/>
      <c r="I33" s="21" t="n"/>
      <c r="J33" s="19" t="n"/>
      <c r="K33" s="20" t="n"/>
      <c r="L33" s="21" t="n"/>
      <c r="M33" s="19" t="n"/>
      <c r="N33" s="20" t="n"/>
      <c r="O33" s="21" t="n"/>
      <c r="P33" s="19" t="n"/>
      <c r="Q33" s="20" t="n"/>
      <c r="R33" s="21" t="n"/>
      <c r="S33" s="19" t="n"/>
      <c r="T33" s="20" t="n"/>
      <c r="U33" s="21" t="n"/>
      <c r="V33" s="19" t="n"/>
      <c r="W33" s="20" t="n"/>
      <c r="X33" s="20" t="n"/>
      <c r="Y33" s="17">
        <f>IF(ISBLANK(V33),"",V33-D33)</f>
        <v/>
      </c>
      <c r="Z33" s="22" t="inlineStr">
        <is>
          <t>extensibility-custom-rules</t>
        </is>
      </c>
      <c r="AA33" s="22" t="n">
        <v>0</v>
      </c>
      <c r="AB33" s="22">
        <f>IF(ISBLANK(V33),D33,V33)</f>
        <v/>
      </c>
    </row>
    <row r="34">
      <c r="A34" s="11" t="inlineStr">
        <is>
          <t>IDE / Local Developer Tooling</t>
        </is>
      </c>
      <c r="B34" s="11" t="inlineStr">
        <is>
          <t>Developer Experience</t>
        </is>
      </c>
      <c r="C34" s="6" t="n">
        <v>1</v>
      </c>
      <c r="D34" s="6" t="n">
        <v>4</v>
      </c>
      <c r="E34" s="12" t="inlineStr">
        <is>
          <r>
            <t xml:space="preserve">VS Code and Visual Studio extensions, pre-commit secret scanning hook, and real-time in-IDE feedback via Developer Assist / ASCA -- strong overall IDE integration for the platform, though the DAST-specific portion of this local feedback loop is less clearly documented than the SAST/secrets portion. Source: </t>
          </r>
          <r>
            <rPr>
              <color rgb="000563C1"/>
              <u val="single"/>
            </rPr>
            <t>docs.checkmarx.com/checkmarx-one-vs-code-extension</t>
          </r>
        </is>
      </c>
      <c r="F34" s="11" t="inlineStr">
        <is>
          <t>paper</t>
        </is>
      </c>
      <c r="G34" s="13" t="n"/>
      <c r="H34" s="14" t="n"/>
      <c r="I34" s="15" t="n"/>
      <c r="J34" s="13" t="n"/>
      <c r="K34" s="14" t="n"/>
      <c r="L34" s="15" t="n"/>
      <c r="M34" s="13" t="n"/>
      <c r="N34" s="14" t="n"/>
      <c r="O34" s="15" t="n"/>
      <c r="P34" s="13" t="n"/>
      <c r="Q34" s="14" t="n"/>
      <c r="R34" s="15" t="n"/>
      <c r="S34" s="13" t="n"/>
      <c r="T34" s="14" t="n"/>
      <c r="U34" s="15" t="n"/>
      <c r="V34" s="13" t="n"/>
      <c r="W34" s="14" t="n"/>
      <c r="X34" s="14" t="n"/>
      <c r="Y34" s="6">
        <f>IF(ISBLANK(V34),"",V34-D34)</f>
        <v/>
      </c>
      <c r="Z34" t="inlineStr">
        <is>
          <t>ide-local-dev-tooling</t>
        </is>
      </c>
      <c r="AA34" t="n">
        <v>0</v>
      </c>
      <c r="AB34">
        <f>IF(ISBLANK(V34),D34,V34)</f>
        <v/>
      </c>
    </row>
    <row r="35">
      <c r="A35" s="16" t="inlineStr">
        <is>
          <t>Auto-Remediation / Auto-PR</t>
        </is>
      </c>
      <c r="B35" s="16" t="inlineStr">
        <is>
          <t>Developer Experience</t>
        </is>
      </c>
      <c r="C35" s="17" t="n">
        <v>0</v>
      </c>
      <c r="D35" s="17" t="n">
        <v>1</v>
      </c>
      <c r="E35" s="18" t="inlineStr">
        <is>
          <r>
            <t xml:space="preserve">Confirmed absent for DAST: Checkmarx's Remediation Assist / auto-PR feature explicitly scopes itself to 'SAST and SCA findings generated within Checkmarx One' -- no DAST scope mentioned anywhere in that feature's own documentation. Independently gap-checked by a fresh reviewer with no shared context, who confirmed the same absence. Source: </t>
          </r>
          <r>
            <rPr>
              <color rgb="000563C1"/>
              <u val="single"/>
            </rPr>
            <t>checkmarx.com/product/triage-and-remediation</t>
          </r>
        </is>
      </c>
      <c r="F35" s="16" t="inlineStr">
        <is>
          <t>paper</t>
        </is>
      </c>
      <c r="G35" s="19" t="n"/>
      <c r="H35" s="20" t="n"/>
      <c r="I35" s="21" t="n"/>
      <c r="J35" s="19" t="n"/>
      <c r="K35" s="20" t="n"/>
      <c r="L35" s="21" t="n"/>
      <c r="M35" s="19" t="n"/>
      <c r="N35" s="20" t="n"/>
      <c r="O35" s="21" t="n"/>
      <c r="P35" s="19" t="n"/>
      <c r="Q35" s="20" t="n"/>
      <c r="R35" s="21" t="n"/>
      <c r="S35" s="19" t="n"/>
      <c r="T35" s="20" t="n"/>
      <c r="U35" s="21" t="n"/>
      <c r="V35" s="19" t="n"/>
      <c r="W35" s="20" t="n"/>
      <c r="X35" s="20" t="n"/>
      <c r="Y35" s="17">
        <f>IF(ISBLANK(V35),"",V35-D35)</f>
        <v/>
      </c>
      <c r="Z35" s="22" t="inlineStr">
        <is>
          <t>auto-remediation-pr</t>
        </is>
      </c>
      <c r="AA35" s="22" t="n">
        <v>0</v>
      </c>
      <c r="AB35" s="22">
        <f>IF(ISBLANK(V35),D35,V35)</f>
        <v/>
      </c>
    </row>
    <row r="36">
      <c r="A36" s="11" t="inlineStr">
        <is>
          <t>Incremental / Differential Scanning</t>
        </is>
      </c>
      <c r="B36" s="11" t="inlineStr">
        <is>
          <t>Production Safety &amp; Operability</t>
        </is>
      </c>
      <c r="C36" s="6" t="n">
        <v>0</v>
      </c>
      <c r="D36" s="6" t="n">
        <v>1</v>
      </c>
      <c r="E36" s="12" t="inlineStr">
        <is>
          <r>
            <t xml:space="preserve">Confirmed absent: Checkmarx's own support documentation states plainly that 'only API Security and SAST support incremental scans,' and selecting DAST for a scan run forces a full rescan instead. Independently gap-checked and confirmed by a fresh reviewer with a direct citation. Source: </t>
          </r>
          <r>
            <rPr>
              <color rgb="000563C1"/>
              <u val="single"/>
            </rPr>
            <t>support.checkmarx.com</t>
          </r>
        </is>
      </c>
      <c r="F36" s="11" t="inlineStr">
        <is>
          <t>paper</t>
        </is>
      </c>
      <c r="G36" s="13" t="n"/>
      <c r="H36" s="14" t="n"/>
      <c r="I36" s="15" t="n"/>
      <c r="J36" s="13" t="n"/>
      <c r="K36" s="14" t="n"/>
      <c r="L36" s="15" t="n"/>
      <c r="M36" s="13" t="n"/>
      <c r="N36" s="14" t="n"/>
      <c r="O36" s="15" t="n"/>
      <c r="P36" s="13" t="n"/>
      <c r="Q36" s="14" t="n"/>
      <c r="R36" s="15" t="n"/>
      <c r="S36" s="13" t="n"/>
      <c r="T36" s="14" t="n"/>
      <c r="U36" s="15" t="n"/>
      <c r="V36" s="13" t="n"/>
      <c r="W36" s="14" t="n"/>
      <c r="X36" s="14" t="n"/>
      <c r="Y36" s="6">
        <f>IF(ISBLANK(V36),"",V36-D36)</f>
        <v/>
      </c>
      <c r="Z36" t="inlineStr">
        <is>
          <t>incremental-differential-scanning</t>
        </is>
      </c>
      <c r="AA36" t="n">
        <v>0</v>
      </c>
      <c r="AB36">
        <f>IF(ISBLANK(V36),D36,V36)</f>
        <v/>
      </c>
    </row>
    <row r="37" ht="20" customHeight="1">
      <c r="A37" s="23" t="inlineStr">
        <is>
          <t>Summary</t>
        </is>
      </c>
    </row>
    <row r="38">
      <c r="A38" s="24" t="inlineStr">
        <is>
          <t>Coverage</t>
        </is>
      </c>
      <c r="B38" s="24" t="n"/>
      <c r="C38" s="24">
        <f>SUMPRODUCT((B4:B36="Coverage")*C4:C36*AB4:AB36*(1-AA4:AA36))/5</f>
        <v/>
      </c>
      <c r="D38" s="24">
        <f>TEXT(C38,"0.0")&amp;"/"&amp;TEXT(E38,"0")&amp;" available points"</f>
        <v/>
      </c>
      <c r="E38" s="24">
        <f>SUMPRODUCT((B4:B36="Coverage")*C4:C36*(1-AA4:AA36))</f>
        <v/>
      </c>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row>
    <row r="39">
      <c r="A39" t="inlineStr">
        <is>
          <t>Detection Quality</t>
        </is>
      </c>
      <c r="C39">
        <f>SUMPRODUCT((B4:B36="Detection Quality")*C4:C36*AB4:AB36*(1-AA4:AA36))/5</f>
        <v/>
      </c>
      <c r="D39">
        <f>TEXT(C39,"0.0")&amp;"/"&amp;TEXT(E39,"0")&amp;" available points"</f>
        <v/>
      </c>
      <c r="E39">
        <f>SUMPRODUCT((B4:B36="Detection Quality")*C4:C36*(1-AA4:AA36))</f>
        <v/>
      </c>
    </row>
    <row r="40">
      <c r="A40" t="inlineStr">
        <is>
          <t>Production Safety &amp; Operability</t>
        </is>
      </c>
      <c r="C40">
        <f>SUMPRODUCT((B4:B36="Production Safety &amp; Operability")*C4:C36*AB4:AB36*(1-AA4:AA36))/5</f>
        <v/>
      </c>
      <c r="D40">
        <f>TEXT(C40,"0.0")&amp;"/"&amp;TEXT(E40,"0")&amp;" available points"</f>
        <v/>
      </c>
      <c r="E40">
        <f>SUMPRODUCT((B4:B36="Production Safety &amp; Operability")*C4:C36*(1-AA4:AA36))</f>
        <v/>
      </c>
    </row>
    <row r="41">
      <c r="A41" t="inlineStr">
        <is>
          <t>Developer Experience</t>
        </is>
      </c>
      <c r="C41">
        <f>SUMPRODUCT((B4:B36="Developer Experience")*C4:C36*AB4:AB36*(1-AA4:AA36))/5</f>
        <v/>
      </c>
      <c r="D41">
        <f>TEXT(C41,"0.0")&amp;"/"&amp;TEXT(E41,"0")&amp;" available points"</f>
        <v/>
      </c>
      <c r="E41">
        <f>SUMPRODUCT((B4:B36="Developer Experience")*C4:C36*(1-AA4:AA36))</f>
        <v/>
      </c>
    </row>
    <row r="42">
      <c r="A42" t="inlineStr">
        <is>
          <t>Reporting &amp; Extensibility</t>
        </is>
      </c>
      <c r="C42">
        <f>SUMPRODUCT((B4:B36="Reporting &amp; Extensibility")*C4:C36*AB4:AB36*(1-AA4:AA36))/5</f>
        <v/>
      </c>
      <c r="D42">
        <f>TEXT(C42,"0.0")&amp;"/"&amp;TEXT(E42,"0")&amp;" available points"</f>
        <v/>
      </c>
      <c r="E42">
        <f>SUMPRODUCT((B4:B36="Reporting &amp; Extensibility")*C4:C36*(1-AA4:AA36))</f>
        <v/>
      </c>
    </row>
    <row r="43">
      <c r="A43" t="inlineStr">
        <is>
          <t>Deployment &amp; Data Governance</t>
        </is>
      </c>
      <c r="C43">
        <f>SUMPRODUCT((B4:B36="Deployment &amp; Data Governance")*C4:C36*AB4:AB36*(1-AA4:AA36))/5</f>
        <v/>
      </c>
      <c r="D43">
        <f>TEXT(C43,"0.0")&amp;"/"&amp;TEXT(E43,"0")&amp;" available points"</f>
        <v/>
      </c>
      <c r="E43">
        <f>SUMPRODUCT((B4:B36="Deployment &amp; Data Governance")*C4:C36*(1-AA4:AA36))</f>
        <v/>
      </c>
    </row>
    <row r="44">
      <c r="A44" t="inlineStr">
        <is>
          <t>Weighted Total</t>
        </is>
      </c>
      <c r="C44">
        <f>SUMPRODUCT(C4:C36,AB4:AB36,(1-AA4:AA36))/5</f>
        <v/>
      </c>
      <c r="D44">
        <f>TEXT(C44,"0.0")&amp;"/"&amp;TEXT(E44,"0")&amp;" available points"</f>
        <v/>
      </c>
      <c r="E44">
        <f>SUMPRODUCT(C4:C36,(1-AA4:AA36))</f>
        <v/>
      </c>
    </row>
  </sheetData>
  <sheetProtection selectLockedCells="0" selectUnlockedCells="0" sheet="1" objects="0" insertRows="1" insertHyperlinks="1" autoFilter="1" scenarios="0" formatColumns="1" deleteColumns="1" insertColumns="1" pivotTables="1" deleteRows="1" formatCells="1" formatRows="1" sort="1"/>
  <mergeCells count="5">
    <mergeCell ref="G2:I2"/>
    <mergeCell ref="J2:L2"/>
    <mergeCell ref="P2:R2"/>
    <mergeCell ref="M2:O2"/>
    <mergeCell ref="S2:U2"/>
  </mergeCells>
  <conditionalFormatting sqref="G4">
    <cfRule type="cellIs" priority="1" operator="equal" dxfId="0">
      <formula>""</formula>
    </cfRule>
  </conditionalFormatting>
  <conditionalFormatting sqref="J4">
    <cfRule type="cellIs" priority="2" operator="equal" dxfId="0">
      <formula>""</formula>
    </cfRule>
  </conditionalFormatting>
  <conditionalFormatting sqref="M4">
    <cfRule type="cellIs" priority="3" operator="equal" dxfId="0">
      <formula>""</formula>
    </cfRule>
  </conditionalFormatting>
  <conditionalFormatting sqref="P4">
    <cfRule type="cellIs" priority="4" operator="equal" dxfId="0">
      <formula>""</formula>
    </cfRule>
  </conditionalFormatting>
  <conditionalFormatting sqref="S4">
    <cfRule type="cellIs" priority="5" operator="equal" dxfId="0">
      <formula>""</formula>
    </cfRule>
  </conditionalFormatting>
  <conditionalFormatting sqref="V4">
    <cfRule type="cellIs" priority="6" operator="equal" dxfId="0">
      <formula>""</formula>
    </cfRule>
  </conditionalFormatting>
  <conditionalFormatting sqref="G5">
    <cfRule type="cellIs" priority="7" operator="equal" dxfId="0">
      <formula>""</formula>
    </cfRule>
  </conditionalFormatting>
  <conditionalFormatting sqref="J5">
    <cfRule type="cellIs" priority="8" operator="equal" dxfId="0">
      <formula>""</formula>
    </cfRule>
  </conditionalFormatting>
  <conditionalFormatting sqref="M5">
    <cfRule type="cellIs" priority="9" operator="equal" dxfId="0">
      <formula>""</formula>
    </cfRule>
  </conditionalFormatting>
  <conditionalFormatting sqref="P5">
    <cfRule type="cellIs" priority="10" operator="equal" dxfId="0">
      <formula>""</formula>
    </cfRule>
  </conditionalFormatting>
  <conditionalFormatting sqref="S5">
    <cfRule type="cellIs" priority="11" operator="equal" dxfId="0">
      <formula>""</formula>
    </cfRule>
  </conditionalFormatting>
  <conditionalFormatting sqref="V5">
    <cfRule type="cellIs" priority="12" operator="equal" dxfId="0">
      <formula>""</formula>
    </cfRule>
  </conditionalFormatting>
  <conditionalFormatting sqref="G6">
    <cfRule type="cellIs" priority="13" operator="equal" dxfId="0">
      <formula>""</formula>
    </cfRule>
  </conditionalFormatting>
  <conditionalFormatting sqref="J6">
    <cfRule type="cellIs" priority="14" operator="equal" dxfId="0">
      <formula>""</formula>
    </cfRule>
  </conditionalFormatting>
  <conditionalFormatting sqref="M6">
    <cfRule type="cellIs" priority="15" operator="equal" dxfId="0">
      <formula>""</formula>
    </cfRule>
  </conditionalFormatting>
  <conditionalFormatting sqref="P6">
    <cfRule type="cellIs" priority="16" operator="equal" dxfId="0">
      <formula>""</formula>
    </cfRule>
  </conditionalFormatting>
  <conditionalFormatting sqref="S6">
    <cfRule type="cellIs" priority="17" operator="equal" dxfId="0">
      <formula>""</formula>
    </cfRule>
  </conditionalFormatting>
  <conditionalFormatting sqref="V6">
    <cfRule type="cellIs" priority="18" operator="equal" dxfId="0">
      <formula>""</formula>
    </cfRule>
  </conditionalFormatting>
  <conditionalFormatting sqref="G7">
    <cfRule type="cellIs" priority="19" operator="equal" dxfId="0">
      <formula>""</formula>
    </cfRule>
  </conditionalFormatting>
  <conditionalFormatting sqref="J7">
    <cfRule type="cellIs" priority="20" operator="equal" dxfId="0">
      <formula>""</formula>
    </cfRule>
  </conditionalFormatting>
  <conditionalFormatting sqref="M7">
    <cfRule type="cellIs" priority="21" operator="equal" dxfId="0">
      <formula>""</formula>
    </cfRule>
  </conditionalFormatting>
  <conditionalFormatting sqref="P7">
    <cfRule type="cellIs" priority="22" operator="equal" dxfId="0">
      <formula>""</formula>
    </cfRule>
  </conditionalFormatting>
  <conditionalFormatting sqref="S7">
    <cfRule type="cellIs" priority="23" operator="equal" dxfId="0">
      <formula>""</formula>
    </cfRule>
  </conditionalFormatting>
  <conditionalFormatting sqref="V7">
    <cfRule type="cellIs" priority="24" operator="equal" dxfId="0">
      <formula>""</formula>
    </cfRule>
  </conditionalFormatting>
  <conditionalFormatting sqref="G8">
    <cfRule type="cellIs" priority="25" operator="equal" dxfId="0">
      <formula>""</formula>
    </cfRule>
  </conditionalFormatting>
  <conditionalFormatting sqref="J8">
    <cfRule type="cellIs" priority="26" operator="equal" dxfId="0">
      <formula>""</formula>
    </cfRule>
  </conditionalFormatting>
  <conditionalFormatting sqref="M8">
    <cfRule type="cellIs" priority="27" operator="equal" dxfId="0">
      <formula>""</formula>
    </cfRule>
  </conditionalFormatting>
  <conditionalFormatting sqref="P8">
    <cfRule type="cellIs" priority="28" operator="equal" dxfId="0">
      <formula>""</formula>
    </cfRule>
  </conditionalFormatting>
  <conditionalFormatting sqref="S8">
    <cfRule type="cellIs" priority="29" operator="equal" dxfId="0">
      <formula>""</formula>
    </cfRule>
  </conditionalFormatting>
  <conditionalFormatting sqref="V8">
    <cfRule type="cellIs" priority="30" operator="equal" dxfId="0">
      <formula>""</formula>
    </cfRule>
  </conditionalFormatting>
  <conditionalFormatting sqref="G9">
    <cfRule type="cellIs" priority="31" operator="equal" dxfId="0">
      <formula>""</formula>
    </cfRule>
  </conditionalFormatting>
  <conditionalFormatting sqref="J9">
    <cfRule type="cellIs" priority="32" operator="equal" dxfId="0">
      <formula>""</formula>
    </cfRule>
  </conditionalFormatting>
  <conditionalFormatting sqref="M9">
    <cfRule type="cellIs" priority="33" operator="equal" dxfId="0">
      <formula>""</formula>
    </cfRule>
  </conditionalFormatting>
  <conditionalFormatting sqref="P9">
    <cfRule type="cellIs" priority="34" operator="equal" dxfId="0">
      <formula>""</formula>
    </cfRule>
  </conditionalFormatting>
  <conditionalFormatting sqref="S9">
    <cfRule type="cellIs" priority="35" operator="equal" dxfId="0">
      <formula>""</formula>
    </cfRule>
  </conditionalFormatting>
  <conditionalFormatting sqref="V9">
    <cfRule type="cellIs" priority="36" operator="equal" dxfId="0">
      <formula>""</formula>
    </cfRule>
  </conditionalFormatting>
  <conditionalFormatting sqref="G10">
    <cfRule type="cellIs" priority="37" operator="equal" dxfId="0">
      <formula>""</formula>
    </cfRule>
  </conditionalFormatting>
  <conditionalFormatting sqref="J10">
    <cfRule type="cellIs" priority="38" operator="equal" dxfId="0">
      <formula>""</formula>
    </cfRule>
  </conditionalFormatting>
  <conditionalFormatting sqref="M10">
    <cfRule type="cellIs" priority="39" operator="equal" dxfId="0">
      <formula>""</formula>
    </cfRule>
  </conditionalFormatting>
  <conditionalFormatting sqref="P10">
    <cfRule type="cellIs" priority="40" operator="equal" dxfId="0">
      <formula>""</formula>
    </cfRule>
  </conditionalFormatting>
  <conditionalFormatting sqref="S10">
    <cfRule type="cellIs" priority="41" operator="equal" dxfId="0">
      <formula>""</formula>
    </cfRule>
  </conditionalFormatting>
  <conditionalFormatting sqref="V10">
    <cfRule type="cellIs" priority="42" operator="equal" dxfId="0">
      <formula>""</formula>
    </cfRule>
  </conditionalFormatting>
  <conditionalFormatting sqref="G11">
    <cfRule type="cellIs" priority="43" operator="equal" dxfId="0">
      <formula>""</formula>
    </cfRule>
  </conditionalFormatting>
  <conditionalFormatting sqref="J11">
    <cfRule type="cellIs" priority="44" operator="equal" dxfId="0">
      <formula>""</formula>
    </cfRule>
  </conditionalFormatting>
  <conditionalFormatting sqref="M11">
    <cfRule type="cellIs" priority="45" operator="equal" dxfId="0">
      <formula>""</formula>
    </cfRule>
  </conditionalFormatting>
  <conditionalFormatting sqref="P11">
    <cfRule type="cellIs" priority="46" operator="equal" dxfId="0">
      <formula>""</formula>
    </cfRule>
  </conditionalFormatting>
  <conditionalFormatting sqref="S11">
    <cfRule type="cellIs" priority="47" operator="equal" dxfId="0">
      <formula>""</formula>
    </cfRule>
  </conditionalFormatting>
  <conditionalFormatting sqref="V11">
    <cfRule type="cellIs" priority="48" operator="equal" dxfId="0">
      <formula>""</formula>
    </cfRule>
  </conditionalFormatting>
  <conditionalFormatting sqref="G12">
    <cfRule type="cellIs" priority="49" operator="equal" dxfId="0">
      <formula>""</formula>
    </cfRule>
  </conditionalFormatting>
  <conditionalFormatting sqref="J12">
    <cfRule type="cellIs" priority="50" operator="equal" dxfId="0">
      <formula>""</formula>
    </cfRule>
  </conditionalFormatting>
  <conditionalFormatting sqref="M12">
    <cfRule type="cellIs" priority="51" operator="equal" dxfId="0">
      <formula>""</formula>
    </cfRule>
  </conditionalFormatting>
  <conditionalFormatting sqref="P12">
    <cfRule type="cellIs" priority="52" operator="equal" dxfId="0">
      <formula>""</formula>
    </cfRule>
  </conditionalFormatting>
  <conditionalFormatting sqref="S12">
    <cfRule type="cellIs" priority="53" operator="equal" dxfId="0">
      <formula>""</formula>
    </cfRule>
  </conditionalFormatting>
  <conditionalFormatting sqref="V12">
    <cfRule type="cellIs" priority="54" operator="equal" dxfId="0">
      <formula>""</formula>
    </cfRule>
  </conditionalFormatting>
  <conditionalFormatting sqref="G13">
    <cfRule type="cellIs" priority="55" operator="equal" dxfId="0">
      <formula>""</formula>
    </cfRule>
  </conditionalFormatting>
  <conditionalFormatting sqref="J13">
    <cfRule type="cellIs" priority="56" operator="equal" dxfId="0">
      <formula>""</formula>
    </cfRule>
  </conditionalFormatting>
  <conditionalFormatting sqref="M13">
    <cfRule type="cellIs" priority="57" operator="equal" dxfId="0">
      <formula>""</formula>
    </cfRule>
  </conditionalFormatting>
  <conditionalFormatting sqref="P13">
    <cfRule type="cellIs" priority="58" operator="equal" dxfId="0">
      <formula>""</formula>
    </cfRule>
  </conditionalFormatting>
  <conditionalFormatting sqref="S13">
    <cfRule type="cellIs" priority="59" operator="equal" dxfId="0">
      <formula>""</formula>
    </cfRule>
  </conditionalFormatting>
  <conditionalFormatting sqref="V13">
    <cfRule type="cellIs" priority="60" operator="equal" dxfId="0">
      <formula>""</formula>
    </cfRule>
  </conditionalFormatting>
  <dataValidations count="2">
    <dataValidation sqref="G4 G5 G6 G7 G8 G9 G10 G11 G12 G13 G14 G15 G16 G17 G18 G19 G20 G21 G22 G23 G24 G25 G26 G27 G28 G29 G30 G31 G32 G33 G34 G35 G36 J4 J5 J6 J7 J8 J9 J10 J11 J12 J13 J14 J15 J16 J17 J18 J19 J20 J21 J22 J23 J24 J25 J26 J27 J28 J29 J30 J31 J32 J33 J34 J35 J36 M4 M5 M6 M7 M8 M9 M10 M11 M12 M13 M14 M15 M16 M17 M18 M19 M20 M21 M22 M23 M24 M25 M26 M27 M28 M29 M30 M31 M32 M33 M34 M35 M36 P4 P5 P6 P7 P8 P9 P10 P11 P12 P13 P14 P15 P16 P17 P18 P19 P20 P21 P22 P23 P24 P25 P26 P27 P28 P29 P30 P31 P32 P33 P34 P35 P36 S4 S5 S6 S7 S8 S9 S10 S11 S12 S13 S14 S15 S16 S17 S18 S19 S20 S21 S22 S23 S24 S25 S26 S27 S28 S29 S30 S31 S32 S33 S34 S35 S36 V4 V5 V6 V7 V8 V9 V10 V11 V12 V13 V14 V15 V16 V17 V18 V19 V20 V21 V22 V23 V24 V25 V26 V27 V28 V29 V30 V31 V32 V33 V34 V35 V36" showDropDown="0" showInputMessage="0" showErrorMessage="1" allowBlank="1" errorTitle="Invalid score" error="Score must be one of: 1.0, 1.5, 2.0, 2.5, 3.0, 3.5, 4.0, 4.5, 5.0" type="list" errorStyle="stop">
      <formula1>"1.0,1.5,2.0,2.5,3.0,3.5,4.0,4.5,5.0"</formula1>
    </dataValidation>
    <dataValidation sqref="H4 H5 H6 H7 H8 H9 H10 H11 H12 H13 H14 H15 H16 H17 H18 H19 H20 H21 H22 H23 H24 H25 H26 H27 H28 H29 H30 H31 H32 H33 H34 H35 H36 K4 K5 K6 K7 K8 K9 K10 K11 K12 K13 K14 K15 K16 K17 K18 K19 K20 K21 K22 K23 K24 K25 K26 K27 K28 K29 K30 K31 K32 K33 K34 K35 K36 N4 N5 N6 N7 N8 N9 N10 N11 N12 N13 N14 N15 N16 N17 N18 N19 N20 N21 N22 N23 N24 N25 N26 N27 N28 N29 N30 N31 N32 N33 N34 N35 N36 Q4 Q5 Q6 Q7 Q8 Q9 Q10 Q11 Q12 Q13 Q14 Q15 Q16 Q17 Q18 Q19 Q20 Q21 Q22 Q23 Q24 Q25 Q26 Q27 Q28 Q29 Q30 Q31 Q32 Q33 Q34 Q35 Q36 T4 T5 T6 T7 T8 T9 T10 T11 T12 T13 T14 T15 T16 T17 T18 T19 T20 T21 T22 T23 T24 T25 T26 T27 T28 T29 T30 T31 T32 T33 T34 T35 T36" showDropDown="0" showInputMessage="0" showErrorMessage="1" allowBlank="1" errorTitle="Invalid entry" error="Value must be &quot;Yes&quot; (or left blank)." type="list" errorStyle="stop">
      <formula1>"Yes"</formula1>
    </dataValidation>
  </dataValidation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s>
  <pageMargins left="0.75" right="0.75" top="1" bottom="1" header="0.5" footer="0.5"/>
</worksheet>
</file>

<file path=xl/worksheets/sheet6.xml><?xml version="1.0" encoding="utf-8"?>
<worksheet xmlns="http://schemas.openxmlformats.org/spreadsheetml/2006/main">
  <sheetPr>
    <tabColor rgb="00C73E1D"/>
    <outlinePr summaryBelow="1" summaryRight="1"/>
    <pageSetUpPr/>
  </sheetPr>
  <dimension ref="A1:AB44"/>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0" customWidth="1" min="3" max="3"/>
    <col width="14" customWidth="1" min="4" max="4"/>
    <col width="45" customWidth="1" min="5" max="5"/>
    <col width="16" customWidth="1" min="6" max="6"/>
    <col width="12" customWidth="1" min="7" max="7"/>
    <col width="12" customWidth="1" min="8" max="8"/>
    <col width="40" customWidth="1" min="9" max="9"/>
    <col width="12" customWidth="1" min="10" max="10"/>
    <col width="12" customWidth="1" min="11" max="11"/>
    <col width="40" customWidth="1" min="12" max="12"/>
    <col width="12" customWidth="1" min="13" max="13"/>
    <col width="12" customWidth="1" min="14" max="14"/>
    <col width="40" customWidth="1" min="15" max="15"/>
    <col width="12" customWidth="1" min="16" max="16"/>
    <col width="12" customWidth="1" min="17" max="17"/>
    <col width="40" customWidth="1" min="18" max="18"/>
    <col width="12" customWidth="1" min="19" max="19"/>
    <col width="12" customWidth="1" min="20" max="20"/>
    <col width="40" customWidth="1" min="21" max="21"/>
    <col width="14" customWidth="1" min="22" max="22"/>
    <col width="16" customWidth="1" min="23" max="23"/>
    <col width="18" customWidth="1" min="24" max="24"/>
    <col width="14" customWidth="1" min="25" max="25"/>
    <col hidden="1" width="13" customWidth="1" min="26" max="26"/>
    <col hidden="1" width="13" customWidth="1" min="27" max="27"/>
    <col hidden="1" width="13" customWidth="1" min="28" max="28"/>
  </cols>
  <sheetData>
    <row r="1" ht="28" customHeight="1">
      <c r="A1" s="1" t="inlineStr">
        <is>
          <t>HCL AppScan</t>
        </is>
      </c>
    </row>
    <row r="2" ht="24" customHeight="1">
      <c r="G2" s="3">
        <f>IF(Reviewers!B6="","Unassigned — see Reviewers tab",Reviewers!B6&amp;" - "&amp;Reviewers!C6)</f>
        <v/>
      </c>
      <c r="J2" s="3">
        <f>IF(Reviewers!B7="","Unassigned — see Reviewers tab",Reviewers!B7&amp;" - "&amp;Reviewers!C7)</f>
        <v/>
      </c>
      <c r="M2" s="3">
        <f>IF(Reviewers!B8="","Unassigned — see Reviewers tab",Reviewers!B8&amp;" - "&amp;Reviewers!C8)</f>
        <v/>
      </c>
      <c r="P2" s="3">
        <f>IF(Reviewers!B9="","Unassigned — see Reviewers tab",Reviewers!B9&amp;" - "&amp;Reviewers!C9)</f>
        <v/>
      </c>
      <c r="S2" s="3">
        <f>IF(Reviewers!B10="","Unassigned — see Reviewers tab",Reviewers!B10&amp;" - "&amp;Reviewers!C10)</f>
        <v/>
      </c>
    </row>
    <row r="3" ht="36" customHeight="1">
      <c r="A3" s="3" t="inlineStr">
        <is>
          <t>Criterion</t>
        </is>
      </c>
      <c r="B3" s="3" t="inlineStr">
        <is>
          <t>Category</t>
        </is>
      </c>
      <c r="C3" s="3" t="inlineStr">
        <is>
          <t>Weight</t>
        </is>
      </c>
      <c r="D3" s="3" t="inlineStr">
        <is>
          <t>Automated Score</t>
        </is>
      </c>
      <c r="E3" s="3" t="inlineStr">
        <is>
          <t>Automated Evidence</t>
        </is>
      </c>
      <c r="F3" s="3" t="inlineStr">
        <is>
          <t>Automated Confidence</t>
        </is>
      </c>
      <c r="G3" s="3" t="inlineStr">
        <is>
          <t>Score</t>
        </is>
      </c>
      <c r="H3" s="3" t="inlineStr">
        <is>
          <t>Dispute?</t>
        </is>
      </c>
      <c r="I3" s="3" t="inlineStr">
        <is>
          <t>Rationale</t>
        </is>
      </c>
      <c r="J3" s="3" t="inlineStr">
        <is>
          <t>Score</t>
        </is>
      </c>
      <c r="K3" s="3" t="inlineStr">
        <is>
          <t>Dispute?</t>
        </is>
      </c>
      <c r="L3" s="3" t="inlineStr">
        <is>
          <t>Rationale</t>
        </is>
      </c>
      <c r="M3" s="3" t="inlineStr">
        <is>
          <t>Score</t>
        </is>
      </c>
      <c r="N3" s="3" t="inlineStr">
        <is>
          <t>Dispute?</t>
        </is>
      </c>
      <c r="O3" s="3" t="inlineStr">
        <is>
          <t>Rationale</t>
        </is>
      </c>
      <c r="P3" s="3" t="inlineStr">
        <is>
          <t>Score</t>
        </is>
      </c>
      <c r="Q3" s="3" t="inlineStr">
        <is>
          <t>Dispute?</t>
        </is>
      </c>
      <c r="R3" s="3" t="inlineStr">
        <is>
          <t>Rationale</t>
        </is>
      </c>
      <c r="S3" s="3" t="inlineStr">
        <is>
          <t>Score</t>
        </is>
      </c>
      <c r="T3" s="3" t="inlineStr">
        <is>
          <t>Dispute?</t>
        </is>
      </c>
      <c r="U3" s="3" t="inlineStr">
        <is>
          <t>Rationale</t>
        </is>
      </c>
      <c r="V3" s="3" t="inlineStr">
        <is>
          <t>Resolved Score</t>
        </is>
      </c>
      <c r="W3" s="3" t="inlineStr">
        <is>
          <t>Resolved By</t>
        </is>
      </c>
      <c r="X3" s="3" t="inlineStr">
        <is>
          <t>Resolved Timestamp</t>
        </is>
      </c>
      <c r="Y3" s="3" t="inlineStr">
        <is>
          <t>Automated vs. Resolved Delta</t>
        </is>
      </c>
      <c r="Z3" s="3" t="inlineStr">
        <is>
          <t>_criterion_id</t>
        </is>
      </c>
      <c r="AA3" s="3" t="inlineStr">
        <is>
          <t>_pending</t>
        </is>
      </c>
      <c r="AB3" s="3" t="inlineStr">
        <is>
          <t>_effective_score</t>
        </is>
      </c>
    </row>
    <row r="4">
      <c r="A4" s="11" t="inlineStr">
        <is>
          <t>Detection Accuracy</t>
        </is>
      </c>
      <c r="B4" s="11" t="inlineStr">
        <is>
          <t>Detection Quality</t>
        </is>
      </c>
      <c r="C4" s="6" t="n">
        <v>7</v>
      </c>
      <c r="D4" s="6" t="n">
        <v>3</v>
      </c>
      <c r="E4" s="12" t="inlineStr">
        <is>
          <r>
            <t xml:space="preserve">An independent benchmark cites a 66% true-positive rate for critical vulnerabilities but only 60% accuracy in assigning correct severity -- real cited numbers, moderate rather than exceptional. Source: </t>
          </r>
          <r>
            <rPr>
              <color rgb="000563C1"/>
              <u val="single"/>
            </rPr>
            <t>aimultiple.com/dast-tools</t>
          </r>
          <r>
            <t xml:space="preserve"> benchmark</t>
          </r>
        </is>
      </c>
      <c r="F4" s="11" t="inlineStr">
        <is>
          <t>paper</t>
        </is>
      </c>
      <c r="G4" s="13" t="n"/>
      <c r="H4" s="14" t="n"/>
      <c r="I4" s="15" t="n"/>
      <c r="J4" s="13" t="n"/>
      <c r="K4" s="14" t="n"/>
      <c r="L4" s="15" t="n"/>
      <c r="M4" s="13" t="n"/>
      <c r="N4" s="14" t="n"/>
      <c r="O4" s="15" t="n"/>
      <c r="P4" s="13" t="n"/>
      <c r="Q4" s="14" t="n"/>
      <c r="R4" s="15" t="n"/>
      <c r="S4" s="13" t="n"/>
      <c r="T4" s="14" t="n"/>
      <c r="U4" s="15" t="n"/>
      <c r="V4" s="13" t="n"/>
      <c r="W4" s="14" t="n"/>
      <c r="X4" s="14" t="n"/>
      <c r="Y4" s="6">
        <f>IF(ISBLANK(V4),"",V4-D4)</f>
        <v/>
      </c>
      <c r="Z4" t="inlineStr">
        <is>
          <t>detection-accuracy</t>
        </is>
      </c>
      <c r="AA4" t="n">
        <v>0</v>
      </c>
      <c r="AB4">
        <f>IF(ISBLANK(V4),D4,V4)</f>
        <v/>
      </c>
    </row>
    <row r="5">
      <c r="A5" s="16" t="inlineStr">
        <is>
          <t>Authentication &amp; Session Handling</t>
        </is>
      </c>
      <c r="B5" s="16" t="inlineStr">
        <is>
          <t>Coverage</t>
        </is>
      </c>
      <c r="C5" s="17" t="n">
        <v>6</v>
      </c>
      <c r="D5" s="17" t="n">
        <v>4</v>
      </c>
      <c r="E5" s="18" t="inlineStr">
        <is>
          <r>
            <t xml:space="preserve">SAML SSO, MFA/OTP, browser-based Recorded Login for scripted flows, and a Multi-Step Operations feature for sequence-dependent logins. Source: </t>
          </r>
          <r>
            <rPr>
              <color rgb="000563C1"/>
              <u val="single"/>
            </rPr>
            <t>help.hcl-software.com</t>
          </r>
          <r>
            <t xml:space="preserve"> SSO/OTP docs</t>
          </r>
        </is>
      </c>
      <c r="F5" s="16" t="inlineStr">
        <is>
          <t>paper</t>
        </is>
      </c>
      <c r="G5" s="19" t="n"/>
      <c r="H5" s="20" t="n"/>
      <c r="I5" s="21" t="n"/>
      <c r="J5" s="19" t="n"/>
      <c r="K5" s="20" t="n"/>
      <c r="L5" s="21" t="n"/>
      <c r="M5" s="19" t="n"/>
      <c r="N5" s="20" t="n"/>
      <c r="O5" s="21" t="n"/>
      <c r="P5" s="19" t="n"/>
      <c r="Q5" s="20" t="n"/>
      <c r="R5" s="21" t="n"/>
      <c r="S5" s="19" t="n"/>
      <c r="T5" s="20" t="n"/>
      <c r="U5" s="21" t="n"/>
      <c r="V5" s="19" t="n"/>
      <c r="W5" s="20" t="n"/>
      <c r="X5" s="20" t="n"/>
      <c r="Y5" s="17">
        <f>IF(ISBLANK(V5),"",V5-D5)</f>
        <v/>
      </c>
      <c r="Z5" s="22" t="inlineStr">
        <is>
          <t>auth-session-handling</t>
        </is>
      </c>
      <c r="AA5" s="22" t="n">
        <v>0</v>
      </c>
      <c r="AB5" s="22">
        <f>IF(ISBLANK(V5),D5,V5)</f>
        <v/>
      </c>
    </row>
    <row r="6">
      <c r="A6" s="11" t="inlineStr">
        <is>
          <t>Safe Production Scanning</t>
        </is>
      </c>
      <c r="B6" s="11" t="inlineStr">
        <is>
          <t>Production Safety &amp; Operability</t>
        </is>
      </c>
      <c r="C6" s="6" t="n">
        <v>6</v>
      </c>
      <c r="D6" s="6" t="n">
        <v>4</v>
      </c>
      <c r="E6" s="12" t="inlineStr">
        <is>
          <r>
            <t xml:space="preserve">Documented max-request-rate configuration for production scans, explicit guidance to disable automatic form-fill in production to avoid flooding a database, and a passive IAST mode. Source: </t>
          </r>
          <r>
            <rPr>
              <color rgb="000563C1"/>
              <u val="single"/>
            </rPr>
            <t>help.hcl-software.com</t>
          </r>
          <r>
            <t xml:space="preserve"> production scanning guidance</t>
          </r>
        </is>
      </c>
      <c r="F6" s="11" t="inlineStr">
        <is>
          <t>paper</t>
        </is>
      </c>
      <c r="G6" s="13" t="n"/>
      <c r="H6" s="14" t="n"/>
      <c r="I6" s="15" t="n"/>
      <c r="J6" s="13" t="n"/>
      <c r="K6" s="14" t="n"/>
      <c r="L6" s="15" t="n"/>
      <c r="M6" s="13" t="n"/>
      <c r="N6" s="14" t="n"/>
      <c r="O6" s="15" t="n"/>
      <c r="P6" s="13" t="n"/>
      <c r="Q6" s="14" t="n"/>
      <c r="R6" s="15" t="n"/>
      <c r="S6" s="13" t="n"/>
      <c r="T6" s="14" t="n"/>
      <c r="U6" s="15" t="n"/>
      <c r="V6" s="13" t="n"/>
      <c r="W6" s="14" t="n"/>
      <c r="X6" s="14" t="n"/>
      <c r="Y6" s="6">
        <f>IF(ISBLANK(V6),"",V6-D6)</f>
        <v/>
      </c>
      <c r="Z6" t="inlineStr">
        <is>
          <t>safe-prod-scanning</t>
        </is>
      </c>
      <c r="AA6" t="n">
        <v>0</v>
      </c>
      <c r="AB6">
        <f>IF(ISBLANK(V6),D6,V6)</f>
        <v/>
      </c>
    </row>
    <row r="7">
      <c r="A7" s="16" t="inlineStr">
        <is>
          <t>API/SPA Coverage</t>
        </is>
      </c>
      <c r="B7" s="16" t="inlineStr">
        <is>
          <t>Coverage</t>
        </is>
      </c>
      <c r="C7" s="17" t="n">
        <v>5</v>
      </c>
      <c r="D7" s="17" t="n">
        <v>3.5</v>
      </c>
      <c r="E7" s="18" t="inlineStr">
        <is>
          <r>
            <t xml:space="preserve">REST/SOAP/GraphQL confirmed (GraphQL via template, Postman/SoapUI recording); one independent review notes GraphQL/gRPC support 'not as complete as competitors like StackHawk.' Source: </t>
          </r>
          <r>
            <rPr>
              <color rgb="000563C1"/>
              <u val="single"/>
            </rPr>
            <t>help.hcl-software.com/appscan</t>
          </r>
          <r>
            <t xml:space="preserve"> GraphQL template docs</t>
          </r>
        </is>
      </c>
      <c r="F7" s="16" t="inlineStr">
        <is>
          <t>paper</t>
        </is>
      </c>
      <c r="G7" s="19" t="n"/>
      <c r="H7" s="20" t="n"/>
      <c r="I7" s="21" t="n"/>
      <c r="J7" s="19" t="n"/>
      <c r="K7" s="20" t="n"/>
      <c r="L7" s="21" t="n"/>
      <c r="M7" s="19" t="n"/>
      <c r="N7" s="20" t="n"/>
      <c r="O7" s="21" t="n"/>
      <c r="P7" s="19" t="n"/>
      <c r="Q7" s="20" t="n"/>
      <c r="R7" s="21" t="n"/>
      <c r="S7" s="19" t="n"/>
      <c r="T7" s="20" t="n"/>
      <c r="U7" s="21" t="n"/>
      <c r="V7" s="19" t="n"/>
      <c r="W7" s="20" t="n"/>
      <c r="X7" s="20" t="n"/>
      <c r="Y7" s="17">
        <f>IF(ISBLANK(V7),"",V7-D7)</f>
        <v/>
      </c>
      <c r="Z7" s="22" t="inlineStr">
        <is>
          <t>api-spa-coverage</t>
        </is>
      </c>
      <c r="AA7" s="22" t="n">
        <v>0</v>
      </c>
      <c r="AB7" s="22">
        <f>IF(ISBLANK(V7),D7,V7)</f>
        <v/>
      </c>
    </row>
    <row r="8">
      <c r="A8" s="11" t="inlineStr">
        <is>
          <t>CI/CD-Native Fit</t>
        </is>
      </c>
      <c r="B8" s="11" t="inlineStr">
        <is>
          <t>Production Safety &amp; Operability</t>
        </is>
      </c>
      <c r="C8" s="6" t="n">
        <v>5</v>
      </c>
      <c r="D8" s="6" t="n">
        <v>4</v>
      </c>
      <c r="E8" s="12" t="inlineStr">
        <is>
          <r>
            <t xml:space="preserve">Native Jenkins plugin, GitHub Actions action (appscan-dast-action), Azure DevOps and GitLab integrations; specific exit-code/policy-gate documentation less directly confirmed than for some competitors. Source: </t>
          </r>
          <r>
            <rPr>
              <color rgb="000563C1"/>
              <u val="single"/>
            </rPr>
            <t>plugins.jenkins.io/appscan</t>
          </r>
          <r>
            <t>, github.com/HCL-TECH-SOFTWARE/appscan-gitlab-integration</t>
          </r>
        </is>
      </c>
      <c r="F8" s="11" t="inlineStr">
        <is>
          <t>paper</t>
        </is>
      </c>
      <c r="G8" s="13" t="n"/>
      <c r="H8" s="14" t="n"/>
      <c r="I8" s="15" t="n"/>
      <c r="J8" s="13" t="n"/>
      <c r="K8" s="14" t="n"/>
      <c r="L8" s="15" t="n"/>
      <c r="M8" s="13" t="n"/>
      <c r="N8" s="14" t="n"/>
      <c r="O8" s="15" t="n"/>
      <c r="P8" s="13" t="n"/>
      <c r="Q8" s="14" t="n"/>
      <c r="R8" s="15" t="n"/>
      <c r="S8" s="13" t="n"/>
      <c r="T8" s="14" t="n"/>
      <c r="U8" s="15" t="n"/>
      <c r="V8" s="13" t="n"/>
      <c r="W8" s="14" t="n"/>
      <c r="X8" s="14" t="n"/>
      <c r="Y8" s="6">
        <f>IF(ISBLANK(V8),"",V8-D8)</f>
        <v/>
      </c>
      <c r="Z8" t="inlineStr">
        <is>
          <t>cicd-native-fit</t>
        </is>
      </c>
      <c r="AA8" t="n">
        <v>0</v>
      </c>
      <c r="AB8">
        <f>IF(ISBLANK(V8),D8,V8)</f>
        <v/>
      </c>
    </row>
    <row r="9">
      <c r="A9" s="16" t="inlineStr">
        <is>
          <t>Deployment Model &amp; Data Residency</t>
        </is>
      </c>
      <c r="B9" s="16" t="inlineStr">
        <is>
          <t>Deployment &amp; Data Governance</t>
        </is>
      </c>
      <c r="C9" s="17" t="n">
        <v>5</v>
      </c>
      <c r="D9" s="17" t="n">
        <v>4.5</v>
      </c>
      <c r="E9" s="18" t="inlineStr">
        <is>
          <r>
            <t xml:space="preserve">Cloud, on-prem, sovereign cloud, hybrid, and air-gapped deployment options -- the most deployment-flexible of the four newly-added candidates. Source: </t>
          </r>
          <r>
            <rPr>
              <color rgb="000563C1"/>
              <u val="single"/>
            </rPr>
            <t>hcl-software.com/appscan</t>
          </r>
          <r>
            <t xml:space="preserve"> platform overview</t>
          </r>
        </is>
      </c>
      <c r="F9" s="16" t="inlineStr">
        <is>
          <t>paper</t>
        </is>
      </c>
      <c r="G9" s="19" t="n"/>
      <c r="H9" s="20" t="n"/>
      <c r="I9" s="21" t="n"/>
      <c r="J9" s="19" t="n"/>
      <c r="K9" s="20" t="n"/>
      <c r="L9" s="21" t="n"/>
      <c r="M9" s="19" t="n"/>
      <c r="N9" s="20" t="n"/>
      <c r="O9" s="21" t="n"/>
      <c r="P9" s="19" t="n"/>
      <c r="Q9" s="20" t="n"/>
      <c r="R9" s="21" t="n"/>
      <c r="S9" s="19" t="n"/>
      <c r="T9" s="20" t="n"/>
      <c r="U9" s="21" t="n"/>
      <c r="V9" s="19" t="n"/>
      <c r="W9" s="20" t="n"/>
      <c r="X9" s="20" t="n"/>
      <c r="Y9" s="17">
        <f>IF(ISBLANK(V9),"",V9-D9)</f>
        <v/>
      </c>
      <c r="Z9" s="22" t="inlineStr">
        <is>
          <t>deployment-model-data-residency</t>
        </is>
      </c>
      <c r="AA9" s="22" t="n">
        <v>0</v>
      </c>
      <c r="AB9" s="22">
        <f>IF(ISBLANK(V9),D9,V9)</f>
        <v/>
      </c>
    </row>
    <row r="10">
      <c r="A10" s="11" t="inlineStr">
        <is>
          <t>Legacy Application &amp; Protocol Support</t>
        </is>
      </c>
      <c r="B10" s="11" t="inlineStr">
        <is>
          <t>Coverage</t>
        </is>
      </c>
      <c r="C10" s="6" t="n">
        <v>5</v>
      </c>
      <c r="D10" s="6" t="n">
        <v>4.5</v>
      </c>
      <c r="E10" s="12" t="inlineStr">
        <is>
          <r>
            <t xml:space="preserve">Deep SOAP support, long IBM/HCL AppScan lineage explicitly positioned for financial-services and healthcare legacy-compliance workflows -- likely the strongest of the newly-added candidates on this criterion. Source: </t>
          </r>
          <r>
            <rPr>
              <color rgb="000563C1"/>
              <u val="single"/>
            </rPr>
            <t>appsecsanta.com/hcl-appscan-dast</t>
          </r>
          <r>
            <t xml:space="preserve"> review</t>
          </r>
        </is>
      </c>
      <c r="F10" s="11" t="inlineStr">
        <is>
          <t>paper</t>
        </is>
      </c>
      <c r="G10" s="13" t="n"/>
      <c r="H10" s="14" t="n"/>
      <c r="I10" s="15" t="n"/>
      <c r="J10" s="13" t="n"/>
      <c r="K10" s="14" t="n"/>
      <c r="L10" s="15" t="n"/>
      <c r="M10" s="13" t="n"/>
      <c r="N10" s="14" t="n"/>
      <c r="O10" s="15" t="n"/>
      <c r="P10" s="13" t="n"/>
      <c r="Q10" s="14" t="n"/>
      <c r="R10" s="15" t="n"/>
      <c r="S10" s="13" t="n"/>
      <c r="T10" s="14" t="n"/>
      <c r="U10" s="15" t="n"/>
      <c r="V10" s="13" t="n"/>
      <c r="W10" s="14" t="n"/>
      <c r="X10" s="14" t="n"/>
      <c r="Y10" s="6">
        <f>IF(ISBLANK(V10),"",V10-D10)</f>
        <v/>
      </c>
      <c r="Z10" t="inlineStr">
        <is>
          <t>legacy-app-protocol-support</t>
        </is>
      </c>
      <c r="AA10" t="n">
        <v>0</v>
      </c>
      <c r="AB10">
        <f>IF(ISBLANK(V10),D10,V10)</f>
        <v/>
      </c>
    </row>
    <row r="11">
      <c r="A11" s="16" t="inlineStr">
        <is>
          <t>Business Logic &amp; Workflow Vulnerability Detection</t>
        </is>
      </c>
      <c r="B11" s="16" t="inlineStr">
        <is>
          <t>Coverage</t>
        </is>
      </c>
      <c r="C11" s="17" t="n">
        <v>4</v>
      </c>
      <c r="D11" s="17" t="n">
        <v>3</v>
      </c>
      <c r="E11" s="18" t="inlineStr">
        <is>
          <r>
            <t xml:space="preserve">A documented 'Privilege Escalation' feature compares scan results across different authenticated user levels to detect broken access control -- real authorization-state-aware testing -- but distinct from and narrower than full BOLA-style dual-account object-ID comparison or generalized business-logic-workflow validation. Independently gap-checked, revised up from an initial 2.5. Source: </t>
          </r>
          <r>
            <rPr>
              <color rgb="000563C1"/>
              <u val="single"/>
            </rPr>
            <t>help.hcl-software.com/appscan/Standard/10.6.0/t_TestPrivilegeEscalation080.html</t>
          </r>
        </is>
      </c>
      <c r="F11" s="16" t="inlineStr">
        <is>
          <t>paper</t>
        </is>
      </c>
      <c r="G11" s="19" t="n"/>
      <c r="H11" s="20" t="n"/>
      <c r="I11" s="21" t="n"/>
      <c r="J11" s="19" t="n"/>
      <c r="K11" s="20" t="n"/>
      <c r="L11" s="21" t="n"/>
      <c r="M11" s="19" t="n"/>
      <c r="N11" s="20" t="n"/>
      <c r="O11" s="21" t="n"/>
      <c r="P11" s="19" t="n"/>
      <c r="Q11" s="20" t="n"/>
      <c r="R11" s="21" t="n"/>
      <c r="S11" s="19" t="n"/>
      <c r="T11" s="20" t="n"/>
      <c r="U11" s="21" t="n"/>
      <c r="V11" s="19" t="n"/>
      <c r="W11" s="20" t="n"/>
      <c r="X11" s="20" t="n"/>
      <c r="Y11" s="17">
        <f>IF(ISBLANK(V11),"",V11-D11)</f>
        <v/>
      </c>
      <c r="Z11" s="22" t="inlineStr">
        <is>
          <t>business-logic-workflow-detection</t>
        </is>
      </c>
      <c r="AA11" s="22" t="n">
        <v>0</v>
      </c>
      <c r="AB11" s="22">
        <f>IF(ISBLANK(V11),D11,V11)</f>
        <v/>
      </c>
    </row>
    <row r="12">
      <c r="A12" s="11" t="inlineStr">
        <is>
          <t>Compliance &amp; Standards Mapping</t>
        </is>
      </c>
      <c r="B12" s="11" t="inlineStr">
        <is>
          <t>Detection Quality</t>
        </is>
      </c>
      <c r="C12" s="6" t="n">
        <v>4</v>
      </c>
      <c r="D12" s="6" t="n">
        <v>5</v>
      </c>
      <c r="E12" s="12" t="inlineStr">
        <is>
          <r>
            <t xml:space="preserve">Built-in templates for PCI DSS, HIPAA, SOX, GDPR, plus a dedicated FFIEC compliance report and 40+ total compliance report types cited (including GLBA) -- directly hits the rubric's named regulatory frameworks. Source: </t>
          </r>
          <r>
            <rPr>
              <color rgb="000563C1"/>
              <u val="single"/>
            </rPr>
            <t>help.hcl-software.com</t>
          </r>
          <r>
            <t xml:space="preserve"> FFIEC report docs, help.hcl-software.com compliance policies</t>
          </r>
        </is>
      </c>
      <c r="F12" s="11" t="inlineStr">
        <is>
          <t>paper</t>
        </is>
      </c>
      <c r="G12" s="13" t="n"/>
      <c r="H12" s="14" t="n"/>
      <c r="I12" s="15" t="n"/>
      <c r="J12" s="13" t="n"/>
      <c r="K12" s="14" t="n"/>
      <c r="L12" s="15" t="n"/>
      <c r="M12" s="13" t="n"/>
      <c r="N12" s="14" t="n"/>
      <c r="O12" s="15" t="n"/>
      <c r="P12" s="13" t="n"/>
      <c r="Q12" s="14" t="n"/>
      <c r="R12" s="15" t="n"/>
      <c r="S12" s="13" t="n"/>
      <c r="T12" s="14" t="n"/>
      <c r="U12" s="15" t="n"/>
      <c r="V12" s="13" t="n"/>
      <c r="W12" s="14" t="n"/>
      <c r="X12" s="14" t="n"/>
      <c r="Y12" s="6">
        <f>IF(ISBLANK(V12),"",V12-D12)</f>
        <v/>
      </c>
      <c r="Z12" t="inlineStr">
        <is>
          <t>compliance-standards-mapping</t>
        </is>
      </c>
      <c r="AA12" t="n">
        <v>0</v>
      </c>
      <c r="AB12">
        <f>IF(ISBLANK(V12),D12,V12)</f>
        <v/>
      </c>
    </row>
    <row r="13">
      <c r="A13" s="16" t="inlineStr">
        <is>
          <t>Noise / False-Positive Rate</t>
        </is>
      </c>
      <c r="B13" s="16" t="inlineStr">
        <is>
          <t>Detection Quality</t>
        </is>
      </c>
      <c r="C13" s="17" t="n">
        <v>4</v>
      </c>
      <c r="D13" s="17" t="n">
        <v>3</v>
      </c>
      <c r="E13" s="18" t="inlineStr">
        <is>
          <r>
            <t xml:space="preserve">Same independent benchmark cites a 2% false-positive rate, but separate user reviews describe the false-positive rate as noticeably high, requiring manual rule adjustment -- genuinely conflicting evidence presented as such rather than picking the favorable number. Source: </t>
          </r>
          <r>
            <rPr>
              <color rgb="000563C1"/>
              <u val="single"/>
            </rPr>
            <t>aimultiple.com/dast-tools</t>
          </r>
        </is>
      </c>
      <c r="F13" s="16" t="inlineStr">
        <is>
          <t>paper</t>
        </is>
      </c>
      <c r="G13" s="19" t="n"/>
      <c r="H13" s="20" t="n"/>
      <c r="I13" s="21" t="n"/>
      <c r="J13" s="19" t="n"/>
      <c r="K13" s="20" t="n"/>
      <c r="L13" s="21" t="n"/>
      <c r="M13" s="19" t="n"/>
      <c r="N13" s="20" t="n"/>
      <c r="O13" s="21" t="n"/>
      <c r="P13" s="19" t="n"/>
      <c r="Q13" s="20" t="n"/>
      <c r="R13" s="21" t="n"/>
      <c r="S13" s="19" t="n"/>
      <c r="T13" s="20" t="n"/>
      <c r="U13" s="21" t="n"/>
      <c r="V13" s="19" t="n"/>
      <c r="W13" s="20" t="n"/>
      <c r="X13" s="20" t="n"/>
      <c r="Y13" s="17">
        <f>IF(ISBLANK(V13),"",V13-D13)</f>
        <v/>
      </c>
      <c r="Z13" s="22" t="inlineStr">
        <is>
          <t>false-positive-rate</t>
        </is>
      </c>
      <c r="AA13" s="22" t="n">
        <v>0</v>
      </c>
      <c r="AB13" s="22">
        <f>IF(ISBLANK(V13),D13,V13)</f>
        <v/>
      </c>
    </row>
    <row r="14">
      <c r="A14" s="11" t="inlineStr">
        <is>
          <t>Shadow/Zombie API Discovery</t>
        </is>
      </c>
      <c r="B14" s="11" t="inlineStr">
        <is>
          <t>Coverage</t>
        </is>
      </c>
      <c r="C14" s="6" t="n">
        <v>4</v>
      </c>
      <c r="D14" s="6" t="n">
        <v>4</v>
      </c>
      <c r="E14" s="12" t="inlineStr">
        <is>
          <r>
            <t xml:space="preserve">AppScan API Security (built with Salt Security) does AI-driven, traffic-based discovery of shadow and zombie APIs. Source: </t>
          </r>
          <r>
            <rPr>
              <color rgb="000563C1"/>
              <u val="single"/>
            </rPr>
            <t>hcl-software.com/appscan/products/api-security</t>
          </r>
        </is>
      </c>
      <c r="F14" s="11" t="inlineStr">
        <is>
          <t>paper</t>
        </is>
      </c>
      <c r="G14" s="13" t="n"/>
      <c r="H14" s="14" t="n"/>
      <c r="I14" s="15" t="n"/>
      <c r="J14" s="13" t="n"/>
      <c r="K14" s="14" t="n"/>
      <c r="L14" s="15" t="n"/>
      <c r="M14" s="13" t="n"/>
      <c r="N14" s="14" t="n"/>
      <c r="O14" s="15" t="n"/>
      <c r="P14" s="13" t="n"/>
      <c r="Q14" s="14" t="n"/>
      <c r="R14" s="15" t="n"/>
      <c r="S14" s="13" t="n"/>
      <c r="T14" s="14" t="n"/>
      <c r="U14" s="15" t="n"/>
      <c r="V14" s="13" t="n"/>
      <c r="W14" s="14" t="n"/>
      <c r="X14" s="14" t="n"/>
      <c r="Y14" s="6">
        <f>IF(ISBLANK(V14),"",V14-D14)</f>
        <v/>
      </c>
      <c r="Z14" t="inlineStr">
        <is>
          <t>shadow-api-discovery</t>
        </is>
      </c>
      <c r="AA14" t="n">
        <v>0</v>
      </c>
      <c r="AB14">
        <f>IF(ISBLANK(V14),D14,V14)</f>
        <v/>
      </c>
    </row>
    <row r="15">
      <c r="A15" s="16" t="inlineStr">
        <is>
          <t>Triage &amp; Remediation Guidance</t>
        </is>
      </c>
      <c r="B15" s="16" t="inlineStr">
        <is>
          <t>Developer Experience</t>
        </is>
      </c>
      <c r="C15" s="17" t="n">
        <v>4</v>
      </c>
      <c r="D15" s="17" t="n">
        <v>4</v>
      </c>
      <c r="E15" s="18" t="inlineStr">
        <is>
          <r>
            <t xml:space="preserve">RapidFix delivers AI-driven fix suggestions with human-verified recommendations, plus a documented remediation-task workflow in AppScan Standard (the DAST product). Source: </t>
          </r>
          <r>
            <rPr>
              <color rgb="000563C1"/>
              <u val="single"/>
            </rPr>
            <t>hcl-software.com/appscan/products/rapidfix</t>
          </r>
        </is>
      </c>
      <c r="F15" s="16" t="inlineStr">
        <is>
          <t>paper</t>
        </is>
      </c>
      <c r="G15" s="19" t="n"/>
      <c r="H15" s="20" t="n"/>
      <c r="I15" s="21" t="n"/>
      <c r="J15" s="19" t="n"/>
      <c r="K15" s="20" t="n"/>
      <c r="L15" s="21" t="n"/>
      <c r="M15" s="19" t="n"/>
      <c r="N15" s="20" t="n"/>
      <c r="O15" s="21" t="n"/>
      <c r="P15" s="19" t="n"/>
      <c r="Q15" s="20" t="n"/>
      <c r="R15" s="21" t="n"/>
      <c r="S15" s="19" t="n"/>
      <c r="T15" s="20" t="n"/>
      <c r="U15" s="21" t="n"/>
      <c r="V15" s="19" t="n"/>
      <c r="W15" s="20" t="n"/>
      <c r="X15" s="20" t="n"/>
      <c r="Y15" s="17">
        <f>IF(ISBLANK(V15),"",V15-D15)</f>
        <v/>
      </c>
      <c r="Z15" s="22" t="inlineStr">
        <is>
          <t>triage-remediation-guidance</t>
        </is>
      </c>
      <c r="AA15" s="22" t="n">
        <v>0</v>
      </c>
      <c r="AB15" s="22">
        <f>IF(ISBLANK(V15),D15,V15)</f>
        <v/>
      </c>
    </row>
    <row r="16">
      <c r="A16" s="11" t="inlineStr">
        <is>
          <t>Vulnerability Status Management</t>
        </is>
      </c>
      <c r="B16" s="11" t="inlineStr">
        <is>
          <t>Reporting &amp; Extensibility</t>
        </is>
      </c>
      <c r="C16" s="6" t="n">
        <v>4</v>
      </c>
      <c r="D16" s="6" t="n">
        <v>3.5</v>
      </c>
      <c r="E16" s="12" t="inlineStr">
        <is>
          <r>
            <t xml:space="preserve">A documented remediation process and policy-compliance tracking exist, but a formal exception/risk-acceptance workflow with a dedicated audit trail is less directly confirmed than for some competitors. Source: </t>
          </r>
          <r>
            <rPr>
              <color rgb="000563C1"/>
              <u val="single"/>
            </rPr>
            <t>help.hcl-software.com</t>
          </r>
          <r>
            <t xml:space="preserve"> remediation process docs</t>
          </r>
        </is>
      </c>
      <c r="F16" s="11" t="inlineStr">
        <is>
          <t>paper</t>
        </is>
      </c>
      <c r="G16" s="13" t="n"/>
      <c r="H16" s="14" t="n"/>
      <c r="I16" s="15" t="n"/>
      <c r="J16" s="13" t="n"/>
      <c r="K16" s="14" t="n"/>
      <c r="L16" s="15" t="n"/>
      <c r="M16" s="13" t="n"/>
      <c r="N16" s="14" t="n"/>
      <c r="O16" s="15" t="n"/>
      <c r="P16" s="13" t="n"/>
      <c r="Q16" s="14" t="n"/>
      <c r="R16" s="15" t="n"/>
      <c r="S16" s="13" t="n"/>
      <c r="T16" s="14" t="n"/>
      <c r="U16" s="15" t="n"/>
      <c r="V16" s="13" t="n"/>
      <c r="W16" s="14" t="n"/>
      <c r="X16" s="14" t="n"/>
      <c r="Y16" s="6">
        <f>IF(ISBLANK(V16),"",V16-D16)</f>
        <v/>
      </c>
      <c r="Z16" t="inlineStr">
        <is>
          <t>vulnerability-status-management</t>
        </is>
      </c>
      <c r="AA16" t="n">
        <v>0</v>
      </c>
      <c r="AB16">
        <f>IF(ISBLANK(V16),D16,V16)</f>
        <v/>
      </c>
    </row>
    <row r="17">
      <c r="A17" s="16" t="inlineStr">
        <is>
          <t>Multi-Tenancy &amp; Access Control</t>
        </is>
      </c>
      <c r="B17" s="16" t="inlineStr">
        <is>
          <t>Deployment &amp; Data Governance</t>
        </is>
      </c>
      <c r="C17" s="17" t="n">
        <v>3</v>
      </c>
      <c r="D17" s="17" t="n">
        <v>4</v>
      </c>
      <c r="E17" s="18" t="inlineStr">
        <is>
          <r>
            <t xml:space="preserve">Confirmed after independent gap-check: five predefined roles (Administrator, Manager, Application Manager, Tester, Reporting Viewer) plus custom roles/custom user types with granular permissions, and a documented Activity Log audit trail (admin-only, 1-year default retention). Business-unit-specific isolation not explicitly confirmed. Source: </t>
          </r>
          <r>
            <rPr>
              <color rgb="000563C1"/>
              <u val="single"/>
            </rPr>
            <t>help.hcl-software.com</t>
          </r>
          <r>
            <t xml:space="preserve"> custom user permissions, appseccloud user roles docs</t>
          </r>
        </is>
      </c>
      <c r="F17" s="16" t="inlineStr">
        <is>
          <t>paper</t>
        </is>
      </c>
      <c r="G17" s="19" t="n"/>
      <c r="H17" s="20" t="n"/>
      <c r="I17" s="21" t="n"/>
      <c r="J17" s="19" t="n"/>
      <c r="K17" s="20" t="n"/>
      <c r="L17" s="21" t="n"/>
      <c r="M17" s="19" t="n"/>
      <c r="N17" s="20" t="n"/>
      <c r="O17" s="21" t="n"/>
      <c r="P17" s="19" t="n"/>
      <c r="Q17" s="20" t="n"/>
      <c r="R17" s="21" t="n"/>
      <c r="S17" s="19" t="n"/>
      <c r="T17" s="20" t="n"/>
      <c r="U17" s="21" t="n"/>
      <c r="V17" s="19" t="n"/>
      <c r="W17" s="20" t="n"/>
      <c r="X17" s="20" t="n"/>
      <c r="Y17" s="17">
        <f>IF(ISBLANK(V17),"",V17-D17)</f>
        <v/>
      </c>
      <c r="Z17" s="22" t="inlineStr">
        <is>
          <t>multi-tenancy-access-control</t>
        </is>
      </c>
      <c r="AA17" s="22" t="n">
        <v>0</v>
      </c>
      <c r="AB17" s="22">
        <f>IF(ISBLANK(V17),D17,V17)</f>
        <v/>
      </c>
    </row>
    <row r="18">
      <c r="A18" s="11" t="inlineStr">
        <is>
          <t>Automated Triage / FP-Reduction Engine</t>
        </is>
      </c>
      <c r="B18" s="11" t="inlineStr">
        <is>
          <t>Detection Quality</t>
        </is>
      </c>
      <c r="C18" s="6" t="n">
        <v>3</v>
      </c>
      <c r="D18" s="6" t="n">
        <v>4</v>
      </c>
      <c r="E18" s="12" t="inlineStr">
        <is>
          <r>
            <t xml:space="preserve">Cross-scanner (DAST+SAST+IAST) correlation for proof-of-exploitability plus RapidFix agentic-AI-assisted triage across scans. Source: </t>
          </r>
          <r>
            <rPr>
              <color rgb="000563C1"/>
              <u val="single"/>
            </rPr>
            <t>hcl-software.com</t>
          </r>
          <r>
            <t xml:space="preserve"> platform docs</t>
          </r>
        </is>
      </c>
      <c r="F18" s="11" t="inlineStr">
        <is>
          <t>paper</t>
        </is>
      </c>
      <c r="G18" s="13" t="n"/>
      <c r="H18" s="14" t="n"/>
      <c r="I18" s="15" t="n"/>
      <c r="J18" s="13" t="n"/>
      <c r="K18" s="14" t="n"/>
      <c r="L18" s="15" t="n"/>
      <c r="M18" s="13" t="n"/>
      <c r="N18" s="14" t="n"/>
      <c r="O18" s="15" t="n"/>
      <c r="P18" s="13" t="n"/>
      <c r="Q18" s="14" t="n"/>
      <c r="R18" s="15" t="n"/>
      <c r="S18" s="13" t="n"/>
      <c r="T18" s="14" t="n"/>
      <c r="U18" s="15" t="n"/>
      <c r="V18" s="13" t="n"/>
      <c r="W18" s="14" t="n"/>
      <c r="X18" s="14" t="n"/>
      <c r="Y18" s="6">
        <f>IF(ISBLANK(V18),"",V18-D18)</f>
        <v/>
      </c>
      <c r="Z18" t="inlineStr">
        <is>
          <t>automated-triage-fp-reduction</t>
        </is>
      </c>
      <c r="AA18" t="n">
        <v>0</v>
      </c>
      <c r="AB18">
        <f>IF(ISBLANK(V18),D18,V18)</f>
        <v/>
      </c>
    </row>
    <row r="19">
      <c r="A19" s="16" t="inlineStr">
        <is>
          <t>Predictability of Licensing Model</t>
        </is>
      </c>
      <c r="B19" s="16" t="inlineStr">
        <is>
          <t>Deployment &amp; Data Governance</t>
        </is>
      </c>
      <c r="C19" s="17" t="n">
        <v>3</v>
      </c>
      <c r="D19" s="17" t="n">
        <v>3</v>
      </c>
      <c r="E19" s="18" t="inlineStr">
        <is>
          <r>
            <t xml:space="preserve">Flat per-scan pricing (all scans priced the same) is transparent per unit, but scan-frequency-driven total costs and non-public base pricing (quote-based) limit precise multi-year budget forecasting. Source: </t>
          </r>
          <r>
            <rPr>
              <color rgb="000563C1"/>
              <u val="single"/>
            </rPr>
            <t>beaglesecurity.com</t>
          </r>
          <r>
            <t xml:space="preserve"> HCL AppScan pricing article</t>
          </r>
        </is>
      </c>
      <c r="F19" s="16" t="inlineStr">
        <is>
          <t>paper</t>
        </is>
      </c>
      <c r="G19" s="19" t="n"/>
      <c r="H19" s="20" t="n"/>
      <c r="I19" s="21" t="n"/>
      <c r="J19" s="19" t="n"/>
      <c r="K19" s="20" t="n"/>
      <c r="L19" s="21" t="n"/>
      <c r="M19" s="19" t="n"/>
      <c r="N19" s="20" t="n"/>
      <c r="O19" s="21" t="n"/>
      <c r="P19" s="19" t="n"/>
      <c r="Q19" s="20" t="n"/>
      <c r="R19" s="21" t="n"/>
      <c r="S19" s="19" t="n"/>
      <c r="T19" s="20" t="n"/>
      <c r="U19" s="21" t="n"/>
      <c r="V19" s="19" t="n"/>
      <c r="W19" s="20" t="n"/>
      <c r="X19" s="20" t="n"/>
      <c r="Y19" s="17">
        <f>IF(ISBLANK(V19),"",V19-D19)</f>
        <v/>
      </c>
      <c r="Z19" s="22" t="inlineStr">
        <is>
          <t>licensing-model-predictability</t>
        </is>
      </c>
      <c r="AA19" s="22" t="n">
        <v>0</v>
      </c>
      <c r="AB19" s="22">
        <f>IF(ISBLANK(V19),D19,V19)</f>
        <v/>
      </c>
    </row>
    <row r="20">
      <c r="A20" s="11" t="inlineStr">
        <is>
          <t>Setup &amp; Onboarding Friction</t>
        </is>
      </c>
      <c r="B20" s="11" t="inlineStr">
        <is>
          <t>Developer Experience</t>
        </is>
      </c>
      <c r="C20" s="6" t="n">
        <v>3</v>
      </c>
      <c r="D20" s="6" t="n">
        <v>3</v>
      </c>
      <c r="E20" s="12" t="inlineStr">
        <is>
          <r>
            <t xml:space="preserve">Cloud-native onboarding and an 'AppScan Go' enhanced experience exist, but no explicit 'minutes to first scan' claim was found, unlike some competitors' documented quick-start times. Source: </t>
          </r>
          <r>
            <rPr>
              <color rgb="000563C1"/>
              <u val="single"/>
            </rPr>
            <t>hcl-software.com/blog/appscan</t>
          </r>
          <r>
            <t xml:space="preserve"> onboarding blog</t>
          </r>
        </is>
      </c>
      <c r="F20" s="11" t="inlineStr">
        <is>
          <t>paper</t>
        </is>
      </c>
      <c r="G20" s="13" t="n"/>
      <c r="H20" s="14" t="n"/>
      <c r="I20" s="15" t="n"/>
      <c r="J20" s="13" t="n"/>
      <c r="K20" s="14" t="n"/>
      <c r="L20" s="15" t="n"/>
      <c r="M20" s="13" t="n"/>
      <c r="N20" s="14" t="n"/>
      <c r="O20" s="15" t="n"/>
      <c r="P20" s="13" t="n"/>
      <c r="Q20" s="14" t="n"/>
      <c r="R20" s="15" t="n"/>
      <c r="S20" s="13" t="n"/>
      <c r="T20" s="14" t="n"/>
      <c r="U20" s="15" t="n"/>
      <c r="V20" s="13" t="n"/>
      <c r="W20" s="14" t="n"/>
      <c r="X20" s="14" t="n"/>
      <c r="Y20" s="6">
        <f>IF(ISBLANK(V20),"",V20-D20)</f>
        <v/>
      </c>
      <c r="Z20" t="inlineStr">
        <is>
          <t>setup-onboarding-friction</t>
        </is>
      </c>
      <c r="AA20" t="n">
        <v>0</v>
      </c>
      <c r="AB20">
        <f>IF(ISBLANK(V20),D20,V20)</f>
        <v/>
      </c>
    </row>
    <row r="21">
      <c r="A21" s="16" t="inlineStr">
        <is>
          <t>Traditional Stateful Web Crawling</t>
        </is>
      </c>
      <c r="B21" s="16" t="inlineStr">
        <is>
          <t>Coverage</t>
        </is>
      </c>
      <c r="C21" s="17" t="n">
        <v>3</v>
      </c>
      <c r="D21" s="17" t="n">
        <v>4.5</v>
      </c>
      <c r="E21" s="18" t="inlineStr">
        <is>
          <r>
            <t xml:space="preserve">Documented Multi-Step Operations view explicitly handles page-sequence dependencies (e.g. Page1 -&gt; Page2 -&gt; Page3), automatically extracting the necessary sub-sequences. Source: </t>
          </r>
          <r>
            <rPr>
              <color rgb="000563C1"/>
              <u val="single"/>
            </rPr>
            <t>help.hcl-software.com</t>
          </r>
          <r>
            <t xml:space="preserve"> Multi-Step Operations docs</t>
          </r>
        </is>
      </c>
      <c r="F21" s="16" t="inlineStr">
        <is>
          <t>paper</t>
        </is>
      </c>
      <c r="G21" s="19" t="n"/>
      <c r="H21" s="20" t="n"/>
      <c r="I21" s="21" t="n"/>
      <c r="J21" s="19" t="n"/>
      <c r="K21" s="20" t="n"/>
      <c r="L21" s="21" t="n"/>
      <c r="M21" s="19" t="n"/>
      <c r="N21" s="20" t="n"/>
      <c r="O21" s="21" t="n"/>
      <c r="P21" s="19" t="n"/>
      <c r="Q21" s="20" t="n"/>
      <c r="R21" s="21" t="n"/>
      <c r="S21" s="19" t="n"/>
      <c r="T21" s="20" t="n"/>
      <c r="U21" s="21" t="n"/>
      <c r="V21" s="19" t="n"/>
      <c r="W21" s="20" t="n"/>
      <c r="X21" s="20" t="n"/>
      <c r="Y21" s="17">
        <f>IF(ISBLANK(V21),"",V21-D21)</f>
        <v/>
      </c>
      <c r="Z21" s="22" t="inlineStr">
        <is>
          <t>stateful-web-crawling</t>
        </is>
      </c>
      <c r="AA21" s="22" t="n">
        <v>0</v>
      </c>
      <c r="AB21" s="22">
        <f>IF(ISBLANK(V21),D21,V21)</f>
        <v/>
      </c>
    </row>
    <row r="22">
      <c r="A22" s="11" t="inlineStr">
        <is>
          <t>Vendor Security Posture</t>
        </is>
      </c>
      <c r="B22" s="11" t="inlineStr">
        <is>
          <t>Deployment &amp; Data Governance</t>
        </is>
      </c>
      <c r="C22" s="6" t="n">
        <v>3</v>
      </c>
      <c r="D22" s="6" t="n">
        <v>5</v>
      </c>
      <c r="E22" s="12" t="inlineStr">
        <is>
          <r>
            <t xml:space="preserve">SOC 2 Type II (explicit AICPA Trust Services Criteria for Security, Availability, Confidentiality), plus ISO 27001, ISO 27017, ISO 20243, ISO 22301, and ISO 31000 -- a broad certification portfolio. Source: </t>
          </r>
          <r>
            <rPr>
              <color rgb="000563C1"/>
              <u val="single"/>
            </rPr>
            <t>hcl-software.com/legal/compliance/soc2</t>
          </r>
          <r>
            <t>, help.hcl-software.com ISO certification docs</t>
          </r>
        </is>
      </c>
      <c r="F22" s="11" t="inlineStr">
        <is>
          <t>paper</t>
        </is>
      </c>
      <c r="G22" s="13" t="n"/>
      <c r="H22" s="14" t="n"/>
      <c r="I22" s="15" t="n"/>
      <c r="J22" s="13" t="n"/>
      <c r="K22" s="14" t="n"/>
      <c r="L22" s="15" t="n"/>
      <c r="M22" s="13" t="n"/>
      <c r="N22" s="14" t="n"/>
      <c r="O22" s="15" t="n"/>
      <c r="P22" s="13" t="n"/>
      <c r="Q22" s="14" t="n"/>
      <c r="R22" s="15" t="n"/>
      <c r="S22" s="13" t="n"/>
      <c r="T22" s="14" t="n"/>
      <c r="U22" s="15" t="n"/>
      <c r="V22" s="13" t="n"/>
      <c r="W22" s="14" t="n"/>
      <c r="X22" s="14" t="n"/>
      <c r="Y22" s="6">
        <f>IF(ISBLANK(V22),"",V22-D22)</f>
        <v/>
      </c>
      <c r="Z22" t="inlineStr">
        <is>
          <t>vendor-security-posture</t>
        </is>
      </c>
      <c r="AA22" t="n">
        <v>0</v>
      </c>
      <c r="AB22">
        <f>IF(ISBLANK(V22),D22,V22)</f>
        <v/>
      </c>
    </row>
    <row r="23">
      <c r="A23" s="16" t="inlineStr">
        <is>
          <t>ASPM Integration</t>
        </is>
      </c>
      <c r="B23" s="16" t="inlineStr">
        <is>
          <t>Reporting &amp; Extensibility</t>
        </is>
      </c>
      <c r="C23" s="17" t="n">
        <v>2</v>
      </c>
      <c r="D23" s="17" t="n">
        <v>4.5</v>
      </c>
      <c r="E23" s="18" t="inlineStr">
        <is>
          <r>
            <t xml:space="preserve">Confirmed after independent gap-check: ArmorCode's public integrations page explicitly lists 'AppScan DAST' as a named, distinct integration category (alongside separate AppScan MAST and AppScan SAST entries) -- not generic marketing language. Source: </t>
          </r>
          <r>
            <rPr>
              <color rgb="000563C1"/>
              <u val="single"/>
            </rPr>
            <t>armorcode.com/integrations</t>
          </r>
        </is>
      </c>
      <c r="F23" s="16" t="inlineStr">
        <is>
          <t>paper</t>
        </is>
      </c>
      <c r="G23" s="19" t="n"/>
      <c r="H23" s="20" t="n"/>
      <c r="I23" s="21" t="n"/>
      <c r="J23" s="19" t="n"/>
      <c r="K23" s="20" t="n"/>
      <c r="L23" s="21" t="n"/>
      <c r="M23" s="19" t="n"/>
      <c r="N23" s="20" t="n"/>
      <c r="O23" s="21" t="n"/>
      <c r="P23" s="19" t="n"/>
      <c r="Q23" s="20" t="n"/>
      <c r="R23" s="21" t="n"/>
      <c r="S23" s="19" t="n"/>
      <c r="T23" s="20" t="n"/>
      <c r="U23" s="21" t="n"/>
      <c r="V23" s="19" t="n"/>
      <c r="W23" s="20" t="n"/>
      <c r="X23" s="20" t="n"/>
      <c r="Y23" s="17">
        <f>IF(ISBLANK(V23),"",V23-D23)</f>
        <v/>
      </c>
      <c r="Z23" s="22" t="inlineStr">
        <is>
          <t>aspm-integration</t>
        </is>
      </c>
      <c r="AA23" s="22" t="n">
        <v>0</v>
      </c>
      <c r="AB23" s="22">
        <f>IF(ISBLANK(V23),D23,V23)</f>
        <v/>
      </c>
    </row>
    <row r="24">
      <c r="A24" s="11" t="inlineStr">
        <is>
          <t>Sensitive Financial Data Exposure Detection</t>
        </is>
      </c>
      <c r="B24" s="11" t="inlineStr">
        <is>
          <t>Detection Quality</t>
        </is>
      </c>
      <c r="C24" s="6" t="n">
        <v>2</v>
      </c>
      <c r="D24" s="6" t="n">
        <v>2.5</v>
      </c>
      <c r="E24" s="12" t="inlineStr">
        <is>
          <r>
            <t xml:space="preserve">AppScan API Security marketing claims it 'pinpoints sensitive data in transit' for API traffic (DAST-adjacent, not source code), but no page confirms specific PAN/SSN/account-number pattern-matching as a named detection rule -- asserted only at a generic level. Independently gap-checked, evidence stayed weak/generic. Source: </t>
          </r>
          <r>
            <rPr>
              <color rgb="000563C1"/>
              <u val="single"/>
            </rPr>
            <t>hcl-software.com/appscan/products/api-security</t>
          </r>
        </is>
      </c>
      <c r="F24" s="11" t="inlineStr">
        <is>
          <t>paper</t>
        </is>
      </c>
      <c r="G24" s="13" t="n"/>
      <c r="H24" s="14" t="n"/>
      <c r="I24" s="15" t="n"/>
      <c r="J24" s="13" t="n"/>
      <c r="K24" s="14" t="n"/>
      <c r="L24" s="15" t="n"/>
      <c r="M24" s="13" t="n"/>
      <c r="N24" s="14" t="n"/>
      <c r="O24" s="15" t="n"/>
      <c r="P24" s="13" t="n"/>
      <c r="Q24" s="14" t="n"/>
      <c r="R24" s="15" t="n"/>
      <c r="S24" s="13" t="n"/>
      <c r="T24" s="14" t="n"/>
      <c r="U24" s="15" t="n"/>
      <c r="V24" s="13" t="n"/>
      <c r="W24" s="14" t="n"/>
      <c r="X24" s="14" t="n"/>
      <c r="Y24" s="6">
        <f>IF(ISBLANK(V24),"",V24-D24)</f>
        <v/>
      </c>
      <c r="Z24" t="inlineStr">
        <is>
          <t>sensitive-financial-data-exposure</t>
        </is>
      </c>
      <c r="AA24" t="n">
        <v>0</v>
      </c>
      <c r="AB24">
        <f>IF(ISBLANK(V24),D24,V24)</f>
        <v/>
      </c>
    </row>
    <row r="25">
      <c r="A25" s="16" t="inlineStr">
        <is>
          <t>Finding Validation / Proof-of-Exploit</t>
        </is>
      </c>
      <c r="B25" s="16" t="inlineStr">
        <is>
          <t>Detection Quality</t>
        </is>
      </c>
      <c r="C25" s="17" t="n">
        <v>2</v>
      </c>
      <c r="D25" s="17" t="n">
        <v>4</v>
      </c>
      <c r="E25" s="18" t="inlineStr">
        <is>
          <r>
            <t xml:space="preserve">AppScan on Cloud aggregates and correlates DAST, SAST, and IAST findings to provide proof of exploitability, prioritizing the most critical confirmed issues. Source: </t>
          </r>
          <r>
            <rPr>
              <color rgb="000563C1"/>
              <u val="single"/>
            </rPr>
            <t>hcl-software.com/appscan</t>
          </r>
        </is>
      </c>
      <c r="F25" s="16" t="inlineStr">
        <is>
          <t>paper</t>
        </is>
      </c>
      <c r="G25" s="19" t="n"/>
      <c r="H25" s="20" t="n"/>
      <c r="I25" s="21" t="n"/>
      <c r="J25" s="19" t="n"/>
      <c r="K25" s="20" t="n"/>
      <c r="L25" s="21" t="n"/>
      <c r="M25" s="19" t="n"/>
      <c r="N25" s="20" t="n"/>
      <c r="O25" s="21" t="n"/>
      <c r="P25" s="19" t="n"/>
      <c r="Q25" s="20" t="n"/>
      <c r="R25" s="21" t="n"/>
      <c r="S25" s="19" t="n"/>
      <c r="T25" s="20" t="n"/>
      <c r="U25" s="21" t="n"/>
      <c r="V25" s="19" t="n"/>
      <c r="W25" s="20" t="n"/>
      <c r="X25" s="20" t="n"/>
      <c r="Y25" s="17">
        <f>IF(ISBLANK(V25),"",V25-D25)</f>
        <v/>
      </c>
      <c r="Z25" s="22" t="inlineStr">
        <is>
          <t>finding-validation-proof-of-exploit</t>
        </is>
      </c>
      <c r="AA25" s="22" t="n">
        <v>0</v>
      </c>
      <c r="AB25" s="22">
        <f>IF(ISBLANK(V25),D25,V25)</f>
        <v/>
      </c>
    </row>
    <row r="26">
      <c r="A26" s="11" t="inlineStr">
        <is>
          <t>Historical Risk Trend Dashboards</t>
        </is>
      </c>
      <c r="B26" s="11" t="inlineStr">
        <is>
          <t>Reporting &amp; Extensibility</t>
        </is>
      </c>
      <c r="C26" s="6" t="n">
        <v>2</v>
      </c>
      <c r="D26" s="6" t="n">
        <v>5</v>
      </c>
      <c r="E26" s="12" t="inlineStr">
        <is>
          <r>
            <t xml:space="preserve">Security Risk Rating (trend) and Open Issues by Severity (trend) dashboards, plus a Security Risk Rating by Business Unit breakdown -- a genuinely strong executive-level trend view. Source: </t>
          </r>
          <r>
            <rPr>
              <color rgb="000563C1"/>
              <u val="single"/>
            </rPr>
            <t>help.hcltechsw.com</t>
          </r>
          <r>
            <t xml:space="preserve"> dashboards docs</t>
          </r>
        </is>
      </c>
      <c r="F26" s="11" t="inlineStr">
        <is>
          <t>paper</t>
        </is>
      </c>
      <c r="G26" s="13" t="n"/>
      <c r="H26" s="14" t="n"/>
      <c r="I26" s="15" t="n"/>
      <c r="J26" s="13" t="n"/>
      <c r="K26" s="14" t="n"/>
      <c r="L26" s="15" t="n"/>
      <c r="M26" s="13" t="n"/>
      <c r="N26" s="14" t="n"/>
      <c r="O26" s="15" t="n"/>
      <c r="P26" s="13" t="n"/>
      <c r="Q26" s="14" t="n"/>
      <c r="R26" s="15" t="n"/>
      <c r="S26" s="13" t="n"/>
      <c r="T26" s="14" t="n"/>
      <c r="U26" s="15" t="n"/>
      <c r="V26" s="13" t="n"/>
      <c r="W26" s="14" t="n"/>
      <c r="X26" s="14" t="n"/>
      <c r="Y26" s="6">
        <f>IF(ISBLANK(V26),"",V26-D26)</f>
        <v/>
      </c>
      <c r="Z26" t="inlineStr">
        <is>
          <t>historical-risk-trend-dashboards</t>
        </is>
      </c>
      <c r="AA26" t="n">
        <v>0</v>
      </c>
      <c r="AB26">
        <f>IF(ISBLANK(V26),D26,V26)</f>
        <v/>
      </c>
    </row>
    <row r="27">
      <c r="A27" s="16" t="inlineStr">
        <is>
          <t>Reporting Quality / Exportability</t>
        </is>
      </c>
      <c r="B27" s="16" t="inlineStr">
        <is>
          <t>Reporting &amp; Extensibility</t>
        </is>
      </c>
      <c r="C27" s="17" t="n">
        <v>2</v>
      </c>
      <c r="D27" s="17" t="n">
        <v>4.5</v>
      </c>
      <c r="E27" s="18" t="inlineStr">
        <is>
          <r>
            <t xml:space="preserve">CSV/JSON/SARIF export from the Issues list, HTML/PDF/CSV/XML reports, plus Jira and ServiceNow Vulnerability Response integration. Source: </t>
          </r>
          <r>
            <rPr>
              <color rgb="000563C1"/>
              <u val="single"/>
            </rPr>
            <t>help.hcl-software.com</t>
          </r>
          <r>
            <t xml:space="preserve"> reports docs, hcl-software.com Jira blog</t>
          </r>
        </is>
      </c>
      <c r="F27" s="16" t="inlineStr">
        <is>
          <t>paper</t>
        </is>
      </c>
      <c r="G27" s="19" t="n"/>
      <c r="H27" s="20" t="n"/>
      <c r="I27" s="21" t="n"/>
      <c r="J27" s="19" t="n"/>
      <c r="K27" s="20" t="n"/>
      <c r="L27" s="21" t="n"/>
      <c r="M27" s="19" t="n"/>
      <c r="N27" s="20" t="n"/>
      <c r="O27" s="21" t="n"/>
      <c r="P27" s="19" t="n"/>
      <c r="Q27" s="20" t="n"/>
      <c r="R27" s="21" t="n"/>
      <c r="S27" s="19" t="n"/>
      <c r="T27" s="20" t="n"/>
      <c r="U27" s="21" t="n"/>
      <c r="V27" s="19" t="n"/>
      <c r="W27" s="20" t="n"/>
      <c r="X27" s="20" t="n"/>
      <c r="Y27" s="17">
        <f>IF(ISBLANK(V27),"",V27-D27)</f>
        <v/>
      </c>
      <c r="Z27" s="22" t="inlineStr">
        <is>
          <t>reporting-exportability</t>
        </is>
      </c>
      <c r="AA27" s="22" t="n">
        <v>0</v>
      </c>
      <c r="AB27" s="22">
        <f>IF(ISBLANK(V27),D27,V27)</f>
        <v/>
      </c>
    </row>
    <row r="28">
      <c r="A28" s="11" t="inlineStr">
        <is>
          <t>Scan Performance &amp; Scalability</t>
        </is>
      </c>
      <c r="B28" s="11" t="inlineStr">
        <is>
          <t>Production Safety &amp; Operability</t>
        </is>
      </c>
      <c r="C28" s="6" t="n">
        <v>2</v>
      </c>
      <c r="D28" s="6" t="n">
        <v>3.5</v>
      </c>
      <c r="E28" s="12" t="inlineStr">
        <is>
          <r>
            <t xml:space="preserve">Kubernetes-autoscaling and horizontally-scalable 'chunk' processing architecture cited (mostly in SAST-hybrid-scanner context); cloud-native scalability claims apply platform-wide including DAST. Source: </t>
          </r>
          <r>
            <rPr>
              <color rgb="000563C1"/>
              <u val="single"/>
            </rPr>
            <t>help.hcl-software.com</t>
          </r>
          <r>
            <t xml:space="preserve"> concurrent scanning docs</t>
          </r>
        </is>
      </c>
      <c r="F28" s="11" t="inlineStr">
        <is>
          <t>paper</t>
        </is>
      </c>
      <c r="G28" s="13" t="n"/>
      <c r="H28" s="14" t="n"/>
      <c r="I28" s="15" t="n"/>
      <c r="J28" s="13" t="n"/>
      <c r="K28" s="14" t="n"/>
      <c r="L28" s="15" t="n"/>
      <c r="M28" s="13" t="n"/>
      <c r="N28" s="14" t="n"/>
      <c r="O28" s="15" t="n"/>
      <c r="P28" s="13" t="n"/>
      <c r="Q28" s="14" t="n"/>
      <c r="R28" s="15" t="n"/>
      <c r="S28" s="13" t="n"/>
      <c r="T28" s="14" t="n"/>
      <c r="U28" s="15" t="n"/>
      <c r="V28" s="13" t="n"/>
      <c r="W28" s="14" t="n"/>
      <c r="X28" s="14" t="n"/>
      <c r="Y28" s="6">
        <f>IF(ISBLANK(V28),"",V28-D28)</f>
        <v/>
      </c>
      <c r="Z28" t="inlineStr">
        <is>
          <t>scan-performance-scalability</t>
        </is>
      </c>
      <c r="AA28" t="n">
        <v>0</v>
      </c>
      <c r="AB28">
        <f>IF(ISBLANK(V28),D28,V28)</f>
        <v/>
      </c>
    </row>
    <row r="29">
      <c r="A29" s="16" t="inlineStr">
        <is>
          <t>Ticketing &amp; Collaboration Integration</t>
        </is>
      </c>
      <c r="B29" s="16" t="inlineStr">
        <is>
          <t>Reporting &amp; Extensibility</t>
        </is>
      </c>
      <c r="C29" s="17" t="n">
        <v>2</v>
      </c>
      <c r="D29" s="17" t="n">
        <v>4</v>
      </c>
      <c r="E29" s="18" t="inlineStr">
        <is>
          <r>
            <t xml:space="preserve">Native Jira Cloud integration for automatic/ad-hoc ticket creation, plus a ServiceNow Vulnerability Response integration available from the ServiceNow Store. Source: </t>
          </r>
          <r>
            <rPr>
              <color rgb="000563C1"/>
              <u val="single"/>
            </rPr>
            <t>help.hcl-software.com</t>
          </r>
          <r>
            <t xml:space="preserve"> Jira Cloud docs</t>
          </r>
        </is>
      </c>
      <c r="F29" s="16" t="inlineStr">
        <is>
          <t>paper</t>
        </is>
      </c>
      <c r="G29" s="19" t="n"/>
      <c r="H29" s="20" t="n"/>
      <c r="I29" s="21" t="n"/>
      <c r="J29" s="19" t="n"/>
      <c r="K29" s="20" t="n"/>
      <c r="L29" s="21" t="n"/>
      <c r="M29" s="19" t="n"/>
      <c r="N29" s="20" t="n"/>
      <c r="O29" s="21" t="n"/>
      <c r="P29" s="19" t="n"/>
      <c r="Q29" s="20" t="n"/>
      <c r="R29" s="21" t="n"/>
      <c r="S29" s="19" t="n"/>
      <c r="T29" s="20" t="n"/>
      <c r="U29" s="21" t="n"/>
      <c r="V29" s="19" t="n"/>
      <c r="W29" s="20" t="n"/>
      <c r="X29" s="20" t="n"/>
      <c r="Y29" s="17">
        <f>IF(ISBLANK(V29),"",V29-D29)</f>
        <v/>
      </c>
      <c r="Z29" s="22" t="inlineStr">
        <is>
          <t>ticketing-collaboration-integration</t>
        </is>
      </c>
      <c r="AA29" s="22" t="n">
        <v>0</v>
      </c>
      <c r="AB29" s="22">
        <f>IF(ISBLANK(V29),D29,V29)</f>
        <v/>
      </c>
    </row>
    <row r="30">
      <c r="A30" s="11" t="inlineStr">
        <is>
          <t>SIEM/SOAR Integration</t>
        </is>
      </c>
      <c r="B30" s="11" t="inlineStr">
        <is>
          <t>Reporting &amp; Extensibility</t>
        </is>
      </c>
      <c r="C30" s="6" t="n">
        <v>1</v>
      </c>
      <c r="D30" s="6" t="n">
        <v>3.5</v>
      </c>
      <c r="E30" s="12" t="inlineStr">
        <is>
          <r>
            <t xml:space="preserve">Confirmed present for SIEM after independent gap-check: a published, HCL-branded Splunk add-on (listed on Splunkbase) imports DAST/SAST/SCA/IAST vulnerability data into Splunk dashboards. No SOAR (Cortex XSOAR) or QRadar/Sentinel integration confirmed. Source: </t>
          </r>
          <r>
            <rPr>
              <color rgb="000563C1"/>
              <u val="single"/>
            </rPr>
            <t>splunkbase.splunk.com/app/7991</t>
          </r>
        </is>
      </c>
      <c r="F30" s="11" t="inlineStr">
        <is>
          <t>paper</t>
        </is>
      </c>
      <c r="G30" s="13" t="n"/>
      <c r="H30" s="14" t="n"/>
      <c r="I30" s="15" t="n"/>
      <c r="J30" s="13" t="n"/>
      <c r="K30" s="14" t="n"/>
      <c r="L30" s="15" t="n"/>
      <c r="M30" s="13" t="n"/>
      <c r="N30" s="14" t="n"/>
      <c r="O30" s="15" t="n"/>
      <c r="P30" s="13" t="n"/>
      <c r="Q30" s="14" t="n"/>
      <c r="R30" s="15" t="n"/>
      <c r="S30" s="13" t="n"/>
      <c r="T30" s="14" t="n"/>
      <c r="U30" s="15" t="n"/>
      <c r="V30" s="13" t="n"/>
      <c r="W30" s="14" t="n"/>
      <c r="X30" s="14" t="n"/>
      <c r="Y30" s="6">
        <f>IF(ISBLANK(V30),"",V30-D30)</f>
        <v/>
      </c>
      <c r="Z30" t="inlineStr">
        <is>
          <t>siem-soar-integration</t>
        </is>
      </c>
      <c r="AA30" t="n">
        <v>0</v>
      </c>
      <c r="AB30">
        <f>IF(ISBLANK(V30),D30,V30)</f>
        <v/>
      </c>
    </row>
    <row r="31">
      <c r="A31" s="16" t="inlineStr">
        <is>
          <t>Third-Party/Partner API Risk Assessment</t>
        </is>
      </c>
      <c r="B31" s="16" t="inlineStr">
        <is>
          <t>Coverage</t>
        </is>
      </c>
      <c r="C31" s="17" t="n">
        <v>1</v>
      </c>
      <c r="D31" s="17" t="n">
        <v>1.5</v>
      </c>
      <c r="E31" s="18" t="inlineStr">
        <is>
          <r>
            <t xml:space="preserve">Confirmed absent/inconclusive after independent gap-check: only generic 'vendor management process' marketing language found, no dedicated partner/open-banking feature or risk-program-formatted output. Source: </t>
          </r>
          <r>
            <rPr>
              <color rgb="000563C1"/>
              <u val="single"/>
            </rPr>
            <t>hcl-software.com/appscan/products/api-security</t>
          </r>
        </is>
      </c>
      <c r="F31" s="16" t="inlineStr">
        <is>
          <t>paper</t>
        </is>
      </c>
      <c r="G31" s="19" t="n"/>
      <c r="H31" s="20" t="n"/>
      <c r="I31" s="21" t="n"/>
      <c r="J31" s="19" t="n"/>
      <c r="K31" s="20" t="n"/>
      <c r="L31" s="21" t="n"/>
      <c r="M31" s="19" t="n"/>
      <c r="N31" s="20" t="n"/>
      <c r="O31" s="21" t="n"/>
      <c r="P31" s="19" t="n"/>
      <c r="Q31" s="20" t="n"/>
      <c r="R31" s="21" t="n"/>
      <c r="S31" s="19" t="n"/>
      <c r="T31" s="20" t="n"/>
      <c r="U31" s="21" t="n"/>
      <c r="V31" s="19" t="n"/>
      <c r="W31" s="20" t="n"/>
      <c r="X31" s="20" t="n"/>
      <c r="Y31" s="17">
        <f>IF(ISBLANK(V31),"",V31-D31)</f>
        <v/>
      </c>
      <c r="Z31" s="22" t="inlineStr">
        <is>
          <t>third-party-partner-api-risk</t>
        </is>
      </c>
      <c r="AA31" s="22" t="n">
        <v>0</v>
      </c>
      <c r="AB31" s="22">
        <f>IF(ISBLANK(V31),D31,V31)</f>
        <v/>
      </c>
    </row>
    <row r="32">
      <c r="A32" s="11" t="inlineStr">
        <is>
          <t>Asset Discovery &amp; Inventory Tracking</t>
        </is>
      </c>
      <c r="B32" s="11" t="inlineStr">
        <is>
          <t>Coverage</t>
        </is>
      </c>
      <c r="C32" s="6" t="n">
        <v>1</v>
      </c>
      <c r="D32" s="6" t="n">
        <v>3</v>
      </c>
      <c r="E32" s="12" t="inlineStr">
        <is>
          <r>
            <t xml:space="preserve">API-level discovery/inventory confirmed via the Salt Security partnership; not confirmed at the rubric's top tier of scanning public IP ranges/domains for rogue unmapped apps. Source: </t>
          </r>
          <r>
            <rPr>
              <color rgb="000563C1"/>
              <u val="single"/>
            </rPr>
            <t>hcl-software.com/appscan/products/api-security</t>
          </r>
        </is>
      </c>
      <c r="F32" s="11" t="inlineStr">
        <is>
          <t>paper</t>
        </is>
      </c>
      <c r="G32" s="13" t="n"/>
      <c r="H32" s="14" t="n"/>
      <c r="I32" s="15" t="n"/>
      <c r="J32" s="13" t="n"/>
      <c r="K32" s="14" t="n"/>
      <c r="L32" s="15" t="n"/>
      <c r="M32" s="13" t="n"/>
      <c r="N32" s="14" t="n"/>
      <c r="O32" s="15" t="n"/>
      <c r="P32" s="13" t="n"/>
      <c r="Q32" s="14" t="n"/>
      <c r="R32" s="15" t="n"/>
      <c r="S32" s="13" t="n"/>
      <c r="T32" s="14" t="n"/>
      <c r="U32" s="15" t="n"/>
      <c r="V32" s="13" t="n"/>
      <c r="W32" s="14" t="n"/>
      <c r="X32" s="14" t="n"/>
      <c r="Y32" s="6">
        <f>IF(ISBLANK(V32),"",V32-D32)</f>
        <v/>
      </c>
      <c r="Z32" t="inlineStr">
        <is>
          <t>asset-discovery-inventory</t>
        </is>
      </c>
      <c r="AA32" t="n">
        <v>0</v>
      </c>
      <c r="AB32">
        <f>IF(ISBLANK(V32),D32,V32)</f>
        <v/>
      </c>
    </row>
    <row r="33">
      <c r="A33" s="16" t="inlineStr">
        <is>
          <t>Extensibility / Custom Rules</t>
        </is>
      </c>
      <c r="B33" s="16" t="inlineStr">
        <is>
          <t>Reporting &amp; Extensibility</t>
        </is>
      </c>
      <c r="C33" s="17" t="n">
        <v>1</v>
      </c>
      <c r="D33" s="17" t="n">
        <v>3</v>
      </c>
      <c r="E33" s="18" t="inlineStr">
        <is>
          <r>
            <t xml:space="preserve">A Custom Rules Wizard exists for adding custom taint-source rules, but documentation context is primarily SAST-oriented; DAST-specific custom detection-rule extensibility is less clearly confirmed. Source: </t>
          </r>
          <r>
            <rPr>
              <color rgb="000563C1"/>
              <u val="single"/>
            </rPr>
            <t>help.hcl-software.com</t>
          </r>
          <r>
            <t xml:space="preserve"> IDE plugin docs</t>
          </r>
        </is>
      </c>
      <c r="F33" s="16" t="inlineStr">
        <is>
          <t>paper</t>
        </is>
      </c>
      <c r="G33" s="19" t="n"/>
      <c r="H33" s="20" t="n"/>
      <c r="I33" s="21" t="n"/>
      <c r="J33" s="19" t="n"/>
      <c r="K33" s="20" t="n"/>
      <c r="L33" s="21" t="n"/>
      <c r="M33" s="19" t="n"/>
      <c r="N33" s="20" t="n"/>
      <c r="O33" s="21" t="n"/>
      <c r="P33" s="19" t="n"/>
      <c r="Q33" s="20" t="n"/>
      <c r="R33" s="21" t="n"/>
      <c r="S33" s="19" t="n"/>
      <c r="T33" s="20" t="n"/>
      <c r="U33" s="21" t="n"/>
      <c r="V33" s="19" t="n"/>
      <c r="W33" s="20" t="n"/>
      <c r="X33" s="20" t="n"/>
      <c r="Y33" s="17">
        <f>IF(ISBLANK(V33),"",V33-D33)</f>
        <v/>
      </c>
      <c r="Z33" s="22" t="inlineStr">
        <is>
          <t>extensibility-custom-rules</t>
        </is>
      </c>
      <c r="AA33" s="22" t="n">
        <v>0</v>
      </c>
      <c r="AB33" s="22">
        <f>IF(ISBLANK(V33),D33,V33)</f>
        <v/>
      </c>
    </row>
    <row r="34">
      <c r="A34" s="11" t="inlineStr">
        <is>
          <t>IDE / Local Developer Tooling</t>
        </is>
      </c>
      <c r="B34" s="11" t="inlineStr">
        <is>
          <t>Developer Experience</t>
        </is>
      </c>
      <c r="C34" s="6" t="n">
        <v>1</v>
      </c>
      <c r="D34" s="6" t="n">
        <v>4.5</v>
      </c>
      <c r="E34" s="12" t="inlineStr">
        <is>
          <r>
            <t xml:space="preserve">Free CodeSweep VS Code extension, Eclipse/IntelliJ/Visual Studio plugins, and an MCP server for LLM/IDE integration -- a strong IDE footprint. Source: </t>
          </r>
          <r>
            <rPr>
              <color rgb="000563C1"/>
              <u val="single"/>
            </rPr>
            <t>marketplace.visualstudio.com</t>
          </r>
          <r>
            <t>, plugins.jetbrains.com</t>
          </r>
        </is>
      </c>
      <c r="F34" s="11" t="inlineStr">
        <is>
          <t>paper</t>
        </is>
      </c>
      <c r="G34" s="13" t="n"/>
      <c r="H34" s="14" t="n"/>
      <c r="I34" s="15" t="n"/>
      <c r="J34" s="13" t="n"/>
      <c r="K34" s="14" t="n"/>
      <c r="L34" s="15" t="n"/>
      <c r="M34" s="13" t="n"/>
      <c r="N34" s="14" t="n"/>
      <c r="O34" s="15" t="n"/>
      <c r="P34" s="13" t="n"/>
      <c r="Q34" s="14" t="n"/>
      <c r="R34" s="15" t="n"/>
      <c r="S34" s="13" t="n"/>
      <c r="T34" s="14" t="n"/>
      <c r="U34" s="15" t="n"/>
      <c r="V34" s="13" t="n"/>
      <c r="W34" s="14" t="n"/>
      <c r="X34" s="14" t="n"/>
      <c r="Y34" s="6">
        <f>IF(ISBLANK(V34),"",V34-D34)</f>
        <v/>
      </c>
      <c r="Z34" t="inlineStr">
        <is>
          <t>ide-local-dev-tooling</t>
        </is>
      </c>
      <c r="AA34" t="n">
        <v>0</v>
      </c>
      <c r="AB34">
        <f>IF(ISBLANK(V34),D34,V34)</f>
        <v/>
      </c>
    </row>
    <row r="35">
      <c r="A35" s="16" t="inlineStr">
        <is>
          <t>Auto-Remediation / Auto-PR</t>
        </is>
      </c>
      <c r="B35" s="16" t="inlineStr">
        <is>
          <t>Developer Experience</t>
        </is>
      </c>
      <c r="C35" s="17" t="n">
        <v>0</v>
      </c>
      <c r="D35" s="17" t="n">
        <v>1</v>
      </c>
      <c r="E35" s="18" t="inlineStr">
        <is>
          <r>
            <t xml:space="preserve">Confirmed absent for DAST: HCL's own RapidFix documentation states 'HCL AppScan RapidFix applies to SAST results' repeated multiple times; CodeSweep auto-fix is also SAST/source-code scoped. Independently gap-checked and confirmed. Source: </t>
          </r>
          <r>
            <rPr>
              <color rgb="000563C1"/>
              <u val="single"/>
            </rPr>
            <t>help.hcl-software.com/appscan/360/2.1.0/appseccloud_rapidfix.html</t>
          </r>
        </is>
      </c>
      <c r="F35" s="16" t="inlineStr">
        <is>
          <t>paper</t>
        </is>
      </c>
      <c r="G35" s="19" t="n"/>
      <c r="H35" s="20" t="n"/>
      <c r="I35" s="21" t="n"/>
      <c r="J35" s="19" t="n"/>
      <c r="K35" s="20" t="n"/>
      <c r="L35" s="21" t="n"/>
      <c r="M35" s="19" t="n"/>
      <c r="N35" s="20" t="n"/>
      <c r="O35" s="21" t="n"/>
      <c r="P35" s="19" t="n"/>
      <c r="Q35" s="20" t="n"/>
      <c r="R35" s="21" t="n"/>
      <c r="S35" s="19" t="n"/>
      <c r="T35" s="20" t="n"/>
      <c r="U35" s="21" t="n"/>
      <c r="V35" s="19" t="n"/>
      <c r="W35" s="20" t="n"/>
      <c r="X35" s="20" t="n"/>
      <c r="Y35" s="17">
        <f>IF(ISBLANK(V35),"",V35-D35)</f>
        <v/>
      </c>
      <c r="Z35" s="22" t="inlineStr">
        <is>
          <t>auto-remediation-pr</t>
        </is>
      </c>
      <c r="AA35" s="22" t="n">
        <v>0</v>
      </c>
      <c r="AB35" s="22">
        <f>IF(ISBLANK(V35),D35,V35)</f>
        <v/>
      </c>
    </row>
    <row r="36">
      <c r="A36" s="11" t="inlineStr">
        <is>
          <t>Incremental / Differential Scanning</t>
        </is>
      </c>
      <c r="B36" s="11" t="inlineStr">
        <is>
          <t>Production Safety &amp; Operability</t>
        </is>
      </c>
      <c r="C36" s="6" t="n">
        <v>0</v>
      </c>
      <c r="D36" s="6" t="n">
        <v>4.5</v>
      </c>
      <c r="E36" s="12" t="inlineStr">
        <is>
          <r>
            <t xml:space="preserve">Confirmed present for DAST after independent gap-check: AppScan on Cloud/360 documentation explicitly describes a DAST 'Incremental scan' mode that scans only the parts of the application that changed since the last scan, with an Explore stage to detect new/changed structure. Source: </t>
          </r>
          <r>
            <rPr>
              <color rgb="000563C1"/>
              <u val="single"/>
            </rPr>
            <t>help.hcl-software.com/appscan/ASoC/appseccloud_scanning_rescan_cm.html</t>
          </r>
          <r>
            <t>, help.hcl-software.com/appscan/360/1.4.0/Incremental.html</t>
          </r>
        </is>
      </c>
      <c r="F36" s="11" t="inlineStr">
        <is>
          <t>paper</t>
        </is>
      </c>
      <c r="G36" s="13" t="n"/>
      <c r="H36" s="14" t="n"/>
      <c r="I36" s="15" t="n"/>
      <c r="J36" s="13" t="n"/>
      <c r="K36" s="14" t="n"/>
      <c r="L36" s="15" t="n"/>
      <c r="M36" s="13" t="n"/>
      <c r="N36" s="14" t="n"/>
      <c r="O36" s="15" t="n"/>
      <c r="P36" s="13" t="n"/>
      <c r="Q36" s="14" t="n"/>
      <c r="R36" s="15" t="n"/>
      <c r="S36" s="13" t="n"/>
      <c r="T36" s="14" t="n"/>
      <c r="U36" s="15" t="n"/>
      <c r="V36" s="13" t="n"/>
      <c r="W36" s="14" t="n"/>
      <c r="X36" s="14" t="n"/>
      <c r="Y36" s="6">
        <f>IF(ISBLANK(V36),"",V36-D36)</f>
        <v/>
      </c>
      <c r="Z36" t="inlineStr">
        <is>
          <t>incremental-differential-scanning</t>
        </is>
      </c>
      <c r="AA36" t="n">
        <v>0</v>
      </c>
      <c r="AB36">
        <f>IF(ISBLANK(V36),D36,V36)</f>
        <v/>
      </c>
    </row>
    <row r="37" ht="20" customHeight="1">
      <c r="A37" s="23" t="inlineStr">
        <is>
          <t>Summary</t>
        </is>
      </c>
    </row>
    <row r="38">
      <c r="A38" s="24" t="inlineStr">
        <is>
          <t>Coverage</t>
        </is>
      </c>
      <c r="B38" s="24" t="n"/>
      <c r="C38" s="24">
        <f>SUMPRODUCT((B4:B36="Coverage")*C4:C36*AB4:AB36*(1-AA4:AA36))/5</f>
        <v/>
      </c>
      <c r="D38" s="24">
        <f>TEXT(C38,"0.0")&amp;"/"&amp;TEXT(E38,"0")&amp;" available points"</f>
        <v/>
      </c>
      <c r="E38" s="24">
        <f>SUMPRODUCT((B4:B36="Coverage")*C4:C36*(1-AA4:AA36))</f>
        <v/>
      </c>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row>
    <row r="39">
      <c r="A39" t="inlineStr">
        <is>
          <t>Detection Quality</t>
        </is>
      </c>
      <c r="C39">
        <f>SUMPRODUCT((B4:B36="Detection Quality")*C4:C36*AB4:AB36*(1-AA4:AA36))/5</f>
        <v/>
      </c>
      <c r="D39">
        <f>TEXT(C39,"0.0")&amp;"/"&amp;TEXT(E39,"0")&amp;" available points"</f>
        <v/>
      </c>
      <c r="E39">
        <f>SUMPRODUCT((B4:B36="Detection Quality")*C4:C36*(1-AA4:AA36))</f>
        <v/>
      </c>
    </row>
    <row r="40">
      <c r="A40" t="inlineStr">
        <is>
          <t>Production Safety &amp; Operability</t>
        </is>
      </c>
      <c r="C40">
        <f>SUMPRODUCT((B4:B36="Production Safety &amp; Operability")*C4:C36*AB4:AB36*(1-AA4:AA36))/5</f>
        <v/>
      </c>
      <c r="D40">
        <f>TEXT(C40,"0.0")&amp;"/"&amp;TEXT(E40,"0")&amp;" available points"</f>
        <v/>
      </c>
      <c r="E40">
        <f>SUMPRODUCT((B4:B36="Production Safety &amp; Operability")*C4:C36*(1-AA4:AA36))</f>
        <v/>
      </c>
    </row>
    <row r="41">
      <c r="A41" t="inlineStr">
        <is>
          <t>Developer Experience</t>
        </is>
      </c>
      <c r="C41">
        <f>SUMPRODUCT((B4:B36="Developer Experience")*C4:C36*AB4:AB36*(1-AA4:AA36))/5</f>
        <v/>
      </c>
      <c r="D41">
        <f>TEXT(C41,"0.0")&amp;"/"&amp;TEXT(E41,"0")&amp;" available points"</f>
        <v/>
      </c>
      <c r="E41">
        <f>SUMPRODUCT((B4:B36="Developer Experience")*C4:C36*(1-AA4:AA36))</f>
        <v/>
      </c>
    </row>
    <row r="42">
      <c r="A42" t="inlineStr">
        <is>
          <t>Reporting &amp; Extensibility</t>
        </is>
      </c>
      <c r="C42">
        <f>SUMPRODUCT((B4:B36="Reporting &amp; Extensibility")*C4:C36*AB4:AB36*(1-AA4:AA36))/5</f>
        <v/>
      </c>
      <c r="D42">
        <f>TEXT(C42,"0.0")&amp;"/"&amp;TEXT(E42,"0")&amp;" available points"</f>
        <v/>
      </c>
      <c r="E42">
        <f>SUMPRODUCT((B4:B36="Reporting &amp; Extensibility")*C4:C36*(1-AA4:AA36))</f>
        <v/>
      </c>
    </row>
    <row r="43">
      <c r="A43" t="inlineStr">
        <is>
          <t>Deployment &amp; Data Governance</t>
        </is>
      </c>
      <c r="C43">
        <f>SUMPRODUCT((B4:B36="Deployment &amp; Data Governance")*C4:C36*AB4:AB36*(1-AA4:AA36))/5</f>
        <v/>
      </c>
      <c r="D43">
        <f>TEXT(C43,"0.0")&amp;"/"&amp;TEXT(E43,"0")&amp;" available points"</f>
        <v/>
      </c>
      <c r="E43">
        <f>SUMPRODUCT((B4:B36="Deployment &amp; Data Governance")*C4:C36*(1-AA4:AA36))</f>
        <v/>
      </c>
    </row>
    <row r="44">
      <c r="A44" t="inlineStr">
        <is>
          <t>Weighted Total</t>
        </is>
      </c>
      <c r="C44">
        <f>SUMPRODUCT(C4:C36,AB4:AB36,(1-AA4:AA36))/5</f>
        <v/>
      </c>
      <c r="D44">
        <f>TEXT(C44,"0.0")&amp;"/"&amp;TEXT(E44,"0")&amp;" available points"</f>
        <v/>
      </c>
      <c r="E44">
        <f>SUMPRODUCT(C4:C36,(1-AA4:AA36))</f>
        <v/>
      </c>
    </row>
  </sheetData>
  <sheetProtection selectLockedCells="0" selectUnlockedCells="0" sheet="1" objects="0" insertRows="1" insertHyperlinks="1" autoFilter="1" scenarios="0" formatColumns="1" deleteColumns="1" insertColumns="1" pivotTables="1" deleteRows="1" formatCells="1" formatRows="1" sort="1"/>
  <mergeCells count="5">
    <mergeCell ref="G2:I2"/>
    <mergeCell ref="J2:L2"/>
    <mergeCell ref="P2:R2"/>
    <mergeCell ref="M2:O2"/>
    <mergeCell ref="S2:U2"/>
  </mergeCells>
  <conditionalFormatting sqref="G4">
    <cfRule type="cellIs" priority="1" operator="equal" dxfId="0">
      <formula>""</formula>
    </cfRule>
  </conditionalFormatting>
  <conditionalFormatting sqref="J4">
    <cfRule type="cellIs" priority="2" operator="equal" dxfId="0">
      <formula>""</formula>
    </cfRule>
  </conditionalFormatting>
  <conditionalFormatting sqref="M4">
    <cfRule type="cellIs" priority="3" operator="equal" dxfId="0">
      <formula>""</formula>
    </cfRule>
  </conditionalFormatting>
  <conditionalFormatting sqref="P4">
    <cfRule type="cellIs" priority="4" operator="equal" dxfId="0">
      <formula>""</formula>
    </cfRule>
  </conditionalFormatting>
  <conditionalFormatting sqref="S4">
    <cfRule type="cellIs" priority="5" operator="equal" dxfId="0">
      <formula>""</formula>
    </cfRule>
  </conditionalFormatting>
  <conditionalFormatting sqref="V4">
    <cfRule type="cellIs" priority="6" operator="equal" dxfId="0">
      <formula>""</formula>
    </cfRule>
  </conditionalFormatting>
  <conditionalFormatting sqref="G5">
    <cfRule type="cellIs" priority="7" operator="equal" dxfId="0">
      <formula>""</formula>
    </cfRule>
  </conditionalFormatting>
  <conditionalFormatting sqref="J5">
    <cfRule type="cellIs" priority="8" operator="equal" dxfId="0">
      <formula>""</formula>
    </cfRule>
  </conditionalFormatting>
  <conditionalFormatting sqref="M5">
    <cfRule type="cellIs" priority="9" operator="equal" dxfId="0">
      <formula>""</formula>
    </cfRule>
  </conditionalFormatting>
  <conditionalFormatting sqref="P5">
    <cfRule type="cellIs" priority="10" operator="equal" dxfId="0">
      <formula>""</formula>
    </cfRule>
  </conditionalFormatting>
  <conditionalFormatting sqref="S5">
    <cfRule type="cellIs" priority="11" operator="equal" dxfId="0">
      <formula>""</formula>
    </cfRule>
  </conditionalFormatting>
  <conditionalFormatting sqref="V5">
    <cfRule type="cellIs" priority="12" operator="equal" dxfId="0">
      <formula>""</formula>
    </cfRule>
  </conditionalFormatting>
  <conditionalFormatting sqref="G6">
    <cfRule type="cellIs" priority="13" operator="equal" dxfId="0">
      <formula>""</formula>
    </cfRule>
  </conditionalFormatting>
  <conditionalFormatting sqref="J6">
    <cfRule type="cellIs" priority="14" operator="equal" dxfId="0">
      <formula>""</formula>
    </cfRule>
  </conditionalFormatting>
  <conditionalFormatting sqref="M6">
    <cfRule type="cellIs" priority="15" operator="equal" dxfId="0">
      <formula>""</formula>
    </cfRule>
  </conditionalFormatting>
  <conditionalFormatting sqref="P6">
    <cfRule type="cellIs" priority="16" operator="equal" dxfId="0">
      <formula>""</formula>
    </cfRule>
  </conditionalFormatting>
  <conditionalFormatting sqref="S6">
    <cfRule type="cellIs" priority="17" operator="equal" dxfId="0">
      <formula>""</formula>
    </cfRule>
  </conditionalFormatting>
  <conditionalFormatting sqref="V6">
    <cfRule type="cellIs" priority="18" operator="equal" dxfId="0">
      <formula>""</formula>
    </cfRule>
  </conditionalFormatting>
  <conditionalFormatting sqref="G7">
    <cfRule type="cellIs" priority="19" operator="equal" dxfId="0">
      <formula>""</formula>
    </cfRule>
  </conditionalFormatting>
  <conditionalFormatting sqref="J7">
    <cfRule type="cellIs" priority="20" operator="equal" dxfId="0">
      <formula>""</formula>
    </cfRule>
  </conditionalFormatting>
  <conditionalFormatting sqref="M7">
    <cfRule type="cellIs" priority="21" operator="equal" dxfId="0">
      <formula>""</formula>
    </cfRule>
  </conditionalFormatting>
  <conditionalFormatting sqref="P7">
    <cfRule type="cellIs" priority="22" operator="equal" dxfId="0">
      <formula>""</formula>
    </cfRule>
  </conditionalFormatting>
  <conditionalFormatting sqref="S7">
    <cfRule type="cellIs" priority="23" operator="equal" dxfId="0">
      <formula>""</formula>
    </cfRule>
  </conditionalFormatting>
  <conditionalFormatting sqref="V7">
    <cfRule type="cellIs" priority="24" operator="equal" dxfId="0">
      <formula>""</formula>
    </cfRule>
  </conditionalFormatting>
  <conditionalFormatting sqref="G8">
    <cfRule type="cellIs" priority="25" operator="equal" dxfId="0">
      <formula>""</formula>
    </cfRule>
  </conditionalFormatting>
  <conditionalFormatting sqref="J8">
    <cfRule type="cellIs" priority="26" operator="equal" dxfId="0">
      <formula>""</formula>
    </cfRule>
  </conditionalFormatting>
  <conditionalFormatting sqref="M8">
    <cfRule type="cellIs" priority="27" operator="equal" dxfId="0">
      <formula>""</formula>
    </cfRule>
  </conditionalFormatting>
  <conditionalFormatting sqref="P8">
    <cfRule type="cellIs" priority="28" operator="equal" dxfId="0">
      <formula>""</formula>
    </cfRule>
  </conditionalFormatting>
  <conditionalFormatting sqref="S8">
    <cfRule type="cellIs" priority="29" operator="equal" dxfId="0">
      <formula>""</formula>
    </cfRule>
  </conditionalFormatting>
  <conditionalFormatting sqref="V8">
    <cfRule type="cellIs" priority="30" operator="equal" dxfId="0">
      <formula>""</formula>
    </cfRule>
  </conditionalFormatting>
  <conditionalFormatting sqref="G9">
    <cfRule type="cellIs" priority="31" operator="equal" dxfId="0">
      <formula>""</formula>
    </cfRule>
  </conditionalFormatting>
  <conditionalFormatting sqref="J9">
    <cfRule type="cellIs" priority="32" operator="equal" dxfId="0">
      <formula>""</formula>
    </cfRule>
  </conditionalFormatting>
  <conditionalFormatting sqref="M9">
    <cfRule type="cellIs" priority="33" operator="equal" dxfId="0">
      <formula>""</formula>
    </cfRule>
  </conditionalFormatting>
  <conditionalFormatting sqref="P9">
    <cfRule type="cellIs" priority="34" operator="equal" dxfId="0">
      <formula>""</formula>
    </cfRule>
  </conditionalFormatting>
  <conditionalFormatting sqref="S9">
    <cfRule type="cellIs" priority="35" operator="equal" dxfId="0">
      <formula>""</formula>
    </cfRule>
  </conditionalFormatting>
  <conditionalFormatting sqref="V9">
    <cfRule type="cellIs" priority="36" operator="equal" dxfId="0">
      <formula>""</formula>
    </cfRule>
  </conditionalFormatting>
  <conditionalFormatting sqref="G10">
    <cfRule type="cellIs" priority="37" operator="equal" dxfId="0">
      <formula>""</formula>
    </cfRule>
  </conditionalFormatting>
  <conditionalFormatting sqref="J10">
    <cfRule type="cellIs" priority="38" operator="equal" dxfId="0">
      <formula>""</formula>
    </cfRule>
  </conditionalFormatting>
  <conditionalFormatting sqref="M10">
    <cfRule type="cellIs" priority="39" operator="equal" dxfId="0">
      <formula>""</formula>
    </cfRule>
  </conditionalFormatting>
  <conditionalFormatting sqref="P10">
    <cfRule type="cellIs" priority="40" operator="equal" dxfId="0">
      <formula>""</formula>
    </cfRule>
  </conditionalFormatting>
  <conditionalFormatting sqref="S10">
    <cfRule type="cellIs" priority="41" operator="equal" dxfId="0">
      <formula>""</formula>
    </cfRule>
  </conditionalFormatting>
  <conditionalFormatting sqref="V10">
    <cfRule type="cellIs" priority="42" operator="equal" dxfId="0">
      <formula>""</formula>
    </cfRule>
  </conditionalFormatting>
  <conditionalFormatting sqref="G11">
    <cfRule type="cellIs" priority="43" operator="equal" dxfId="0">
      <formula>""</formula>
    </cfRule>
  </conditionalFormatting>
  <conditionalFormatting sqref="J11">
    <cfRule type="cellIs" priority="44" operator="equal" dxfId="0">
      <formula>""</formula>
    </cfRule>
  </conditionalFormatting>
  <conditionalFormatting sqref="M11">
    <cfRule type="cellIs" priority="45" operator="equal" dxfId="0">
      <formula>""</formula>
    </cfRule>
  </conditionalFormatting>
  <conditionalFormatting sqref="P11">
    <cfRule type="cellIs" priority="46" operator="equal" dxfId="0">
      <formula>""</formula>
    </cfRule>
  </conditionalFormatting>
  <conditionalFormatting sqref="S11">
    <cfRule type="cellIs" priority="47" operator="equal" dxfId="0">
      <formula>""</formula>
    </cfRule>
  </conditionalFormatting>
  <conditionalFormatting sqref="V11">
    <cfRule type="cellIs" priority="48" operator="equal" dxfId="0">
      <formula>""</formula>
    </cfRule>
  </conditionalFormatting>
  <conditionalFormatting sqref="G12">
    <cfRule type="cellIs" priority="49" operator="equal" dxfId="0">
      <formula>""</formula>
    </cfRule>
  </conditionalFormatting>
  <conditionalFormatting sqref="J12">
    <cfRule type="cellIs" priority="50" operator="equal" dxfId="0">
      <formula>""</formula>
    </cfRule>
  </conditionalFormatting>
  <conditionalFormatting sqref="M12">
    <cfRule type="cellIs" priority="51" operator="equal" dxfId="0">
      <formula>""</formula>
    </cfRule>
  </conditionalFormatting>
  <conditionalFormatting sqref="P12">
    <cfRule type="cellIs" priority="52" operator="equal" dxfId="0">
      <formula>""</formula>
    </cfRule>
  </conditionalFormatting>
  <conditionalFormatting sqref="S12">
    <cfRule type="cellIs" priority="53" operator="equal" dxfId="0">
      <formula>""</formula>
    </cfRule>
  </conditionalFormatting>
  <conditionalFormatting sqref="V12">
    <cfRule type="cellIs" priority="54" operator="equal" dxfId="0">
      <formula>""</formula>
    </cfRule>
  </conditionalFormatting>
  <conditionalFormatting sqref="G13">
    <cfRule type="cellIs" priority="55" operator="equal" dxfId="0">
      <formula>""</formula>
    </cfRule>
  </conditionalFormatting>
  <conditionalFormatting sqref="J13">
    <cfRule type="cellIs" priority="56" operator="equal" dxfId="0">
      <formula>""</formula>
    </cfRule>
  </conditionalFormatting>
  <conditionalFormatting sqref="M13">
    <cfRule type="cellIs" priority="57" operator="equal" dxfId="0">
      <formula>""</formula>
    </cfRule>
  </conditionalFormatting>
  <conditionalFormatting sqref="P13">
    <cfRule type="cellIs" priority="58" operator="equal" dxfId="0">
      <formula>""</formula>
    </cfRule>
  </conditionalFormatting>
  <conditionalFormatting sqref="S13">
    <cfRule type="cellIs" priority="59" operator="equal" dxfId="0">
      <formula>""</formula>
    </cfRule>
  </conditionalFormatting>
  <conditionalFormatting sqref="V13">
    <cfRule type="cellIs" priority="60" operator="equal" dxfId="0">
      <formula>""</formula>
    </cfRule>
  </conditionalFormatting>
  <dataValidations count="2">
    <dataValidation sqref="G4 G5 G6 G7 G8 G9 G10 G11 G12 G13 G14 G15 G16 G17 G18 G19 G20 G21 G22 G23 G24 G25 G26 G27 G28 G29 G30 G31 G32 G33 G34 G35 G36 J4 J5 J6 J7 J8 J9 J10 J11 J12 J13 J14 J15 J16 J17 J18 J19 J20 J21 J22 J23 J24 J25 J26 J27 J28 J29 J30 J31 J32 J33 J34 J35 J36 M4 M5 M6 M7 M8 M9 M10 M11 M12 M13 M14 M15 M16 M17 M18 M19 M20 M21 M22 M23 M24 M25 M26 M27 M28 M29 M30 M31 M32 M33 M34 M35 M36 P4 P5 P6 P7 P8 P9 P10 P11 P12 P13 P14 P15 P16 P17 P18 P19 P20 P21 P22 P23 P24 P25 P26 P27 P28 P29 P30 P31 P32 P33 P34 P35 P36 S4 S5 S6 S7 S8 S9 S10 S11 S12 S13 S14 S15 S16 S17 S18 S19 S20 S21 S22 S23 S24 S25 S26 S27 S28 S29 S30 S31 S32 S33 S34 S35 S36 V4 V5 V6 V7 V8 V9 V10 V11 V12 V13 V14 V15 V16 V17 V18 V19 V20 V21 V22 V23 V24 V25 V26 V27 V28 V29 V30 V31 V32 V33 V34 V35 V36" showDropDown="0" showInputMessage="0" showErrorMessage="1" allowBlank="1" errorTitle="Invalid score" error="Score must be one of: 1.0, 1.5, 2.0, 2.5, 3.0, 3.5, 4.0, 4.5, 5.0" type="list" errorStyle="stop">
      <formula1>"1.0,1.5,2.0,2.5,3.0,3.5,4.0,4.5,5.0"</formula1>
    </dataValidation>
    <dataValidation sqref="H4 H5 H6 H7 H8 H9 H10 H11 H12 H13 H14 H15 H16 H17 H18 H19 H20 H21 H22 H23 H24 H25 H26 H27 H28 H29 H30 H31 H32 H33 H34 H35 H36 K4 K5 K6 K7 K8 K9 K10 K11 K12 K13 K14 K15 K16 K17 K18 K19 K20 K21 K22 K23 K24 K25 K26 K27 K28 K29 K30 K31 K32 K33 K34 K35 K36 N4 N5 N6 N7 N8 N9 N10 N11 N12 N13 N14 N15 N16 N17 N18 N19 N20 N21 N22 N23 N24 N25 N26 N27 N28 N29 N30 N31 N32 N33 N34 N35 N36 Q4 Q5 Q6 Q7 Q8 Q9 Q10 Q11 Q12 Q13 Q14 Q15 Q16 Q17 Q18 Q19 Q20 Q21 Q22 Q23 Q24 Q25 Q26 Q27 Q28 Q29 Q30 Q31 Q32 Q33 Q34 Q35 Q36 T4 T5 T6 T7 T8 T9 T10 T11 T12 T13 T14 T15 T16 T17 T18 T19 T20 T21 T22 T23 T24 T25 T26 T27 T28 T29 T30 T31 T32 T33 T34 T35 T36" showDropDown="0" showInputMessage="0" showErrorMessage="1" allowBlank="1" errorTitle="Invalid entry" error="Value must be &quot;Yes&quot; (or left blank)." type="list" errorStyle="stop">
      <formula1>"Yes"</formula1>
    </dataValidation>
  </dataValidation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s>
  <pageMargins left="0.75" right="0.75" top="1" bottom="1" header="0.5" footer="0.5"/>
</worksheet>
</file>

<file path=xl/worksheets/sheet7.xml><?xml version="1.0" encoding="utf-8"?>
<worksheet xmlns="http://schemas.openxmlformats.org/spreadsheetml/2006/main">
  <sheetPr>
    <tabColor rgb="003B1F2B"/>
    <outlinePr summaryBelow="1" summaryRight="1"/>
    <pageSetUpPr/>
  </sheetPr>
  <dimension ref="A1:AB44"/>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0" customWidth="1" min="3" max="3"/>
    <col width="14" customWidth="1" min="4" max="4"/>
    <col width="45" customWidth="1" min="5" max="5"/>
    <col width="16" customWidth="1" min="6" max="6"/>
    <col width="12" customWidth="1" min="7" max="7"/>
    <col width="12" customWidth="1" min="8" max="8"/>
    <col width="40" customWidth="1" min="9" max="9"/>
    <col width="12" customWidth="1" min="10" max="10"/>
    <col width="12" customWidth="1" min="11" max="11"/>
    <col width="40" customWidth="1" min="12" max="12"/>
    <col width="12" customWidth="1" min="13" max="13"/>
    <col width="12" customWidth="1" min="14" max="14"/>
    <col width="40" customWidth="1" min="15" max="15"/>
    <col width="12" customWidth="1" min="16" max="16"/>
    <col width="12" customWidth="1" min="17" max="17"/>
    <col width="40" customWidth="1" min="18" max="18"/>
    <col width="12" customWidth="1" min="19" max="19"/>
    <col width="12" customWidth="1" min="20" max="20"/>
    <col width="40" customWidth="1" min="21" max="21"/>
    <col width="14" customWidth="1" min="22" max="22"/>
    <col width="16" customWidth="1" min="23" max="23"/>
    <col width="18" customWidth="1" min="24" max="24"/>
    <col width="14" customWidth="1" min="25" max="25"/>
    <col hidden="1" width="13" customWidth="1" min="26" max="26"/>
    <col hidden="1" width="13" customWidth="1" min="27" max="27"/>
    <col hidden="1" width="13" customWidth="1" min="28" max="28"/>
  </cols>
  <sheetData>
    <row r="1" ht="28" customHeight="1">
      <c r="A1" s="1" t="inlineStr">
        <is>
          <t>StackHawk</t>
        </is>
      </c>
    </row>
    <row r="2" ht="24" customHeight="1">
      <c r="G2" s="3">
        <f>IF(Reviewers!B6="","Unassigned — see Reviewers tab",Reviewers!B6&amp;" - "&amp;Reviewers!C6)</f>
        <v/>
      </c>
      <c r="J2" s="3">
        <f>IF(Reviewers!B7="","Unassigned — see Reviewers tab",Reviewers!B7&amp;" - "&amp;Reviewers!C7)</f>
        <v/>
      </c>
      <c r="M2" s="3">
        <f>IF(Reviewers!B8="","Unassigned — see Reviewers tab",Reviewers!B8&amp;" - "&amp;Reviewers!C8)</f>
        <v/>
      </c>
      <c r="P2" s="3">
        <f>IF(Reviewers!B9="","Unassigned — see Reviewers tab",Reviewers!B9&amp;" - "&amp;Reviewers!C9)</f>
        <v/>
      </c>
      <c r="S2" s="3">
        <f>IF(Reviewers!B10="","Unassigned — see Reviewers tab",Reviewers!B10&amp;" - "&amp;Reviewers!C10)</f>
        <v/>
      </c>
    </row>
    <row r="3" ht="36" customHeight="1">
      <c r="A3" s="3" t="inlineStr">
        <is>
          <t>Criterion</t>
        </is>
      </c>
      <c r="B3" s="3" t="inlineStr">
        <is>
          <t>Category</t>
        </is>
      </c>
      <c r="C3" s="3" t="inlineStr">
        <is>
          <t>Weight</t>
        </is>
      </c>
      <c r="D3" s="3" t="inlineStr">
        <is>
          <t>Automated Score</t>
        </is>
      </c>
      <c r="E3" s="3" t="inlineStr">
        <is>
          <t>Automated Evidence</t>
        </is>
      </c>
      <c r="F3" s="3" t="inlineStr">
        <is>
          <t>Automated Confidence</t>
        </is>
      </c>
      <c r="G3" s="3" t="inlineStr">
        <is>
          <t>Score</t>
        </is>
      </c>
      <c r="H3" s="3" t="inlineStr">
        <is>
          <t>Dispute?</t>
        </is>
      </c>
      <c r="I3" s="3" t="inlineStr">
        <is>
          <t>Rationale</t>
        </is>
      </c>
      <c r="J3" s="3" t="inlineStr">
        <is>
          <t>Score</t>
        </is>
      </c>
      <c r="K3" s="3" t="inlineStr">
        <is>
          <t>Dispute?</t>
        </is>
      </c>
      <c r="L3" s="3" t="inlineStr">
        <is>
          <t>Rationale</t>
        </is>
      </c>
      <c r="M3" s="3" t="inlineStr">
        <is>
          <t>Score</t>
        </is>
      </c>
      <c r="N3" s="3" t="inlineStr">
        <is>
          <t>Dispute?</t>
        </is>
      </c>
      <c r="O3" s="3" t="inlineStr">
        <is>
          <t>Rationale</t>
        </is>
      </c>
      <c r="P3" s="3" t="inlineStr">
        <is>
          <t>Score</t>
        </is>
      </c>
      <c r="Q3" s="3" t="inlineStr">
        <is>
          <t>Dispute?</t>
        </is>
      </c>
      <c r="R3" s="3" t="inlineStr">
        <is>
          <t>Rationale</t>
        </is>
      </c>
      <c r="S3" s="3" t="inlineStr">
        <is>
          <t>Score</t>
        </is>
      </c>
      <c r="T3" s="3" t="inlineStr">
        <is>
          <t>Dispute?</t>
        </is>
      </c>
      <c r="U3" s="3" t="inlineStr">
        <is>
          <t>Rationale</t>
        </is>
      </c>
      <c r="V3" s="3" t="inlineStr">
        <is>
          <t>Resolved Score</t>
        </is>
      </c>
      <c r="W3" s="3" t="inlineStr">
        <is>
          <t>Resolved By</t>
        </is>
      </c>
      <c r="X3" s="3" t="inlineStr">
        <is>
          <t>Resolved Timestamp</t>
        </is>
      </c>
      <c r="Y3" s="3" t="inlineStr">
        <is>
          <t>Automated vs. Resolved Delta</t>
        </is>
      </c>
      <c r="Z3" s="3" t="inlineStr">
        <is>
          <t>_criterion_id</t>
        </is>
      </c>
      <c r="AA3" s="3" t="inlineStr">
        <is>
          <t>_pending</t>
        </is>
      </c>
      <c r="AB3" s="3" t="inlineStr">
        <is>
          <t>_effective_score</t>
        </is>
      </c>
    </row>
    <row r="4">
      <c r="A4" s="11" t="inlineStr">
        <is>
          <t>Detection Accuracy</t>
        </is>
      </c>
      <c r="B4" s="11" t="inlineStr">
        <is>
          <t>Detection Quality</t>
        </is>
      </c>
      <c r="C4" s="6" t="n">
        <v>7</v>
      </c>
      <c r="D4" s="6" t="n">
        <v>4</v>
      </c>
      <c r="E4" s="12" t="inlineStr">
        <is>
          <r>
            <t xml:space="preserve">VENDOR CLAIM, not independently verified. HawkScan runs real attacks against the live app; dedicated Intelligent Business Logic Testing feature specifically targets authorization/logic flaws -- notable vs ZAP/Nuclei. Documented engineering-level detection refinements (e.g. correctly distinguishing true/false boolean-blind-SQLi condition responses) show ongoing tuning, but all from StackHawk's own materials. Source: </t>
          </r>
          <r>
            <rPr>
              <color rgb="000563C1"/>
              <u val="single"/>
            </rPr>
            <t>docs.stackhawk.com/changelog.html</t>
          </r>
        </is>
      </c>
      <c r="F4" s="11" t="inlineStr">
        <is>
          <t>paper</t>
        </is>
      </c>
      <c r="G4" s="13" t="n"/>
      <c r="H4" s="14" t="n"/>
      <c r="I4" s="15" t="n"/>
      <c r="J4" s="13" t="n"/>
      <c r="K4" s="14" t="n"/>
      <c r="L4" s="15" t="n"/>
      <c r="M4" s="13" t="n"/>
      <c r="N4" s="14" t="n"/>
      <c r="O4" s="15" t="n"/>
      <c r="P4" s="13" t="n"/>
      <c r="Q4" s="14" t="n"/>
      <c r="R4" s="15" t="n"/>
      <c r="S4" s="13" t="n"/>
      <c r="T4" s="14" t="n"/>
      <c r="U4" s="15" t="n"/>
      <c r="V4" s="13" t="n"/>
      <c r="W4" s="14" t="n"/>
      <c r="X4" s="14" t="n"/>
      <c r="Y4" s="6">
        <f>IF(ISBLANK(V4),"",V4-D4)</f>
        <v/>
      </c>
      <c r="Z4" t="inlineStr">
        <is>
          <t>detection-accuracy</t>
        </is>
      </c>
      <c r="AA4" t="n">
        <v>0</v>
      </c>
      <c r="AB4">
        <f>IF(ISBLANK(V4),D4,V4)</f>
        <v/>
      </c>
    </row>
    <row r="5">
      <c r="A5" s="16" t="inlineStr">
        <is>
          <t>Safe Production Scanning</t>
        </is>
      </c>
      <c r="B5" s="16" t="inlineStr">
        <is>
          <t>Production Safety &amp; Operability</t>
        </is>
      </c>
      <c r="C5" s="17" t="n">
        <v>6</v>
      </c>
      <c r="D5" s="17" t="n">
        <v>4.5</v>
      </c>
      <c r="E5" s="18" t="inlineStr">
        <is>
          <r>
            <t xml:space="preserve">Documented granular config: requestDelayMillis, concurrentRequests, throttlePassiveBacklog, throttleIntervalSeconds, maxDurationMinutes/maxRuleDurationMinutes, plus a dedicated 'Production Safe' scan policy. Source: </t>
          </r>
          <r>
            <rPr>
              <color rgb="000563C1"/>
              <u val="single"/>
            </rPr>
            <t>docs.stackhawk.com/hawkscan/configuration</t>
          </r>
          <r>
            <t>, docs.stackhawk.com/platform/policy-management/production-safe-scanning</t>
          </r>
        </is>
      </c>
      <c r="F5" s="16" t="inlineStr">
        <is>
          <t>paper</t>
        </is>
      </c>
      <c r="G5" s="19" t="n"/>
      <c r="H5" s="20" t="n"/>
      <c r="I5" s="21" t="n"/>
      <c r="J5" s="19" t="n"/>
      <c r="K5" s="20" t="n"/>
      <c r="L5" s="21" t="n"/>
      <c r="M5" s="19" t="n"/>
      <c r="N5" s="20" t="n"/>
      <c r="O5" s="21" t="n"/>
      <c r="P5" s="19" t="n"/>
      <c r="Q5" s="20" t="n"/>
      <c r="R5" s="21" t="n"/>
      <c r="S5" s="19" t="n"/>
      <c r="T5" s="20" t="n"/>
      <c r="U5" s="21" t="n"/>
      <c r="V5" s="19" t="n"/>
      <c r="W5" s="20" t="n"/>
      <c r="X5" s="20" t="n"/>
      <c r="Y5" s="17">
        <f>IF(ISBLANK(V5),"",V5-D5)</f>
        <v/>
      </c>
      <c r="Z5" s="22" t="inlineStr">
        <is>
          <t>safe-prod-scanning</t>
        </is>
      </c>
      <c r="AA5" s="22" t="n">
        <v>0</v>
      </c>
      <c r="AB5" s="22">
        <f>IF(ISBLANK(V5),D5,V5)</f>
        <v/>
      </c>
    </row>
    <row r="6">
      <c r="A6" s="11" t="inlineStr">
        <is>
          <t>Authentication &amp; Session Handling</t>
        </is>
      </c>
      <c r="B6" s="11" t="inlineStr">
        <is>
          <t>Coverage</t>
        </is>
      </c>
      <c r="C6" s="6" t="n">
        <v>6</v>
      </c>
      <c r="D6" s="6" t="n">
        <v>4.5</v>
      </c>
      <c r="E6" s="12" t="inlineStr">
        <is>
          <r>
            <t xml:space="preserve">JSON/form-based auth plus 3rd-party OAuth 2.0 identity providers (Auth0, Okta, Firebase, KeyCloak) directly configurable in the YAML config, with external token injection available for custom scenarios outside the scanner -- strong, low-friction, well-documented. Source: </t>
          </r>
          <r>
            <rPr>
              <color rgb="000563C1"/>
              <u val="single"/>
            </rPr>
            <t>docs.stackhawk.com/getting-started/auth-scan.html</t>
          </r>
        </is>
      </c>
      <c r="F6" s="11" t="inlineStr">
        <is>
          <t>paper</t>
        </is>
      </c>
      <c r="G6" s="13" t="n"/>
      <c r="H6" s="14" t="n"/>
      <c r="I6" s="15" t="n"/>
      <c r="J6" s="13" t="n"/>
      <c r="K6" s="14" t="n"/>
      <c r="L6" s="15" t="n"/>
      <c r="M6" s="13" t="n"/>
      <c r="N6" s="14" t="n"/>
      <c r="O6" s="15" t="n"/>
      <c r="P6" s="13" t="n"/>
      <c r="Q6" s="14" t="n"/>
      <c r="R6" s="15" t="n"/>
      <c r="S6" s="13" t="n"/>
      <c r="T6" s="14" t="n"/>
      <c r="U6" s="15" t="n"/>
      <c r="V6" s="13" t="n"/>
      <c r="W6" s="14" t="n"/>
      <c r="X6" s="14" t="n"/>
      <c r="Y6" s="6">
        <f>IF(ISBLANK(V6),"",V6-D6)</f>
        <v/>
      </c>
      <c r="Z6" t="inlineStr">
        <is>
          <t>auth-session-handling</t>
        </is>
      </c>
      <c r="AA6" t="n">
        <v>0</v>
      </c>
      <c r="AB6">
        <f>IF(ISBLANK(V6),D6,V6)</f>
        <v/>
      </c>
    </row>
    <row r="7">
      <c r="A7" s="16" t="inlineStr">
        <is>
          <t>Deployment Model &amp; Data Residency</t>
        </is>
      </c>
      <c r="B7" s="16" t="inlineStr">
        <is>
          <t>Deployment &amp; Data Governance</t>
        </is>
      </c>
      <c r="C7" s="17" t="n">
        <v>5</v>
      </c>
      <c r="D7" s="17" t="n">
        <v>2</v>
      </c>
      <c r="E7" s="18" t="inlineStr">
        <is>
          <r>
            <t xml:space="preserve">Cloud-only execution (config-as-code + cloud backend, Tier 2 per dast-onboard-tool's tiering); no on-prem or configurable data-residency option found. Source: </t>
          </r>
          <r>
            <rPr>
              <color rgb="000563C1"/>
              <u val="single"/>
            </rPr>
            <t>appsecsanta.com</t>
          </r>
          <r>
            <t xml:space="preserve"> (independent review states StackHawk is SaaS-only with no on-prem/air-gapped option, contrasted against Invicti which offers on-prem)</t>
          </r>
        </is>
      </c>
      <c r="F7" s="16" t="inlineStr">
        <is>
          <t>paper</t>
        </is>
      </c>
      <c r="G7" s="19" t="n"/>
      <c r="H7" s="20" t="n"/>
      <c r="I7" s="21" t="n"/>
      <c r="J7" s="19" t="n"/>
      <c r="K7" s="20" t="n"/>
      <c r="L7" s="21" t="n"/>
      <c r="M7" s="19" t="n"/>
      <c r="N7" s="20" t="n"/>
      <c r="O7" s="21" t="n"/>
      <c r="P7" s="19" t="n"/>
      <c r="Q7" s="20" t="n"/>
      <c r="R7" s="21" t="n"/>
      <c r="S7" s="19" t="n"/>
      <c r="T7" s="20" t="n"/>
      <c r="U7" s="21" t="n"/>
      <c r="V7" s="19" t="n"/>
      <c r="W7" s="20" t="n"/>
      <c r="X7" s="20" t="n"/>
      <c r="Y7" s="17">
        <f>IF(ISBLANK(V7),"",V7-D7)</f>
        <v/>
      </c>
      <c r="Z7" s="22" t="inlineStr">
        <is>
          <t>deployment-model-data-residency</t>
        </is>
      </c>
      <c r="AA7" s="22" t="n">
        <v>0</v>
      </c>
      <c r="AB7" s="22">
        <f>IF(ISBLANK(V7),D7,V7)</f>
        <v/>
      </c>
    </row>
    <row r="8">
      <c r="A8" s="11" t="inlineStr">
        <is>
          <t>API/SPA Coverage</t>
        </is>
      </c>
      <c r="B8" s="11" t="inlineStr">
        <is>
          <t>Coverage</t>
        </is>
      </c>
      <c r="C8" s="6" t="n">
        <v>5</v>
      </c>
      <c r="D8" s="6" t="n">
        <v>4</v>
      </c>
      <c r="E8" s="12" t="inlineStr">
        <is>
          <r>
            <t xml:space="preserve">Native REST/GraphQL/SOAP/gRPC, introspection-driven GraphQL test generation. API coverage excellent; JS-rendered SPA-UI crawling not emphasized in their docs (spec-driven, not crawl-driven). Source: </t>
          </r>
          <r>
            <rPr>
              <color rgb="000563C1"/>
              <u val="single"/>
            </rPr>
            <t>stackhawk.com/blog/graphql-security</t>
          </r>
        </is>
      </c>
      <c r="F8" s="11" t="inlineStr">
        <is>
          <t>paper</t>
        </is>
      </c>
      <c r="G8" s="13" t="n"/>
      <c r="H8" s="14" t="n"/>
      <c r="I8" s="15" t="n"/>
      <c r="J8" s="13" t="n"/>
      <c r="K8" s="14" t="n"/>
      <c r="L8" s="15" t="n"/>
      <c r="M8" s="13" t="n"/>
      <c r="N8" s="14" t="n"/>
      <c r="O8" s="15" t="n"/>
      <c r="P8" s="13" t="n"/>
      <c r="Q8" s="14" t="n"/>
      <c r="R8" s="15" t="n"/>
      <c r="S8" s="13" t="n"/>
      <c r="T8" s="14" t="n"/>
      <c r="U8" s="15" t="n"/>
      <c r="V8" s="13" t="n"/>
      <c r="W8" s="14" t="n"/>
      <c r="X8" s="14" t="n"/>
      <c r="Y8" s="6">
        <f>IF(ISBLANK(V8),"",V8-D8)</f>
        <v/>
      </c>
      <c r="Z8" t="inlineStr">
        <is>
          <t>api-spa-coverage</t>
        </is>
      </c>
      <c r="AA8" t="n">
        <v>0</v>
      </c>
      <c r="AB8">
        <f>IF(ISBLANK(V8),D8,V8)</f>
        <v/>
      </c>
    </row>
    <row r="9">
      <c r="A9" s="16" t="inlineStr">
        <is>
          <t>CI/CD-Native Fit</t>
        </is>
      </c>
      <c r="B9" s="16" t="inlineStr">
        <is>
          <t>Production Safety &amp; Operability</t>
        </is>
      </c>
      <c r="C9" s="17" t="n">
        <v>5</v>
      </c>
      <c r="D9" s="17" t="n">
        <v>5</v>
      </c>
      <c r="E9" s="18" t="inlineStr">
        <is>
          <r>
            <t xml:space="preserve">Core value prop -- YAML config-as-code, deliberately CI-native exit-code design: exit 42 specifically when the configured failure threshold is reached (distinguishable from exit 1 for an actual scan error). Source: </t>
          </r>
          <r>
            <rPr>
              <color rgb="000563C1"/>
              <u val="single"/>
            </rPr>
            <t>docs.stackhawk.com/getting-started</t>
          </r>
        </is>
      </c>
      <c r="F9" s="16" t="inlineStr">
        <is>
          <t>paper</t>
        </is>
      </c>
      <c r="G9" s="19" t="n"/>
      <c r="H9" s="20" t="n"/>
      <c r="I9" s="21" t="n"/>
      <c r="J9" s="19" t="n"/>
      <c r="K9" s="20" t="n"/>
      <c r="L9" s="21" t="n"/>
      <c r="M9" s="19" t="n"/>
      <c r="N9" s="20" t="n"/>
      <c r="O9" s="21" t="n"/>
      <c r="P9" s="19" t="n"/>
      <c r="Q9" s="20" t="n"/>
      <c r="R9" s="21" t="n"/>
      <c r="S9" s="19" t="n"/>
      <c r="T9" s="20" t="n"/>
      <c r="U9" s="21" t="n"/>
      <c r="V9" s="19" t="n"/>
      <c r="W9" s="20" t="n"/>
      <c r="X9" s="20" t="n"/>
      <c r="Y9" s="17">
        <f>IF(ISBLANK(V9),"",V9-D9)</f>
        <v/>
      </c>
      <c r="Z9" s="22" t="inlineStr">
        <is>
          <t>cicd-native-fit</t>
        </is>
      </c>
      <c r="AA9" s="22" t="n">
        <v>0</v>
      </c>
      <c r="AB9" s="22">
        <f>IF(ISBLANK(V9),D9,V9)</f>
        <v/>
      </c>
    </row>
    <row r="10">
      <c r="A10" s="11" t="inlineStr">
        <is>
          <t>Legacy Application &amp; Protocol Support</t>
        </is>
      </c>
      <c r="B10" s="11" t="inlineStr">
        <is>
          <t>Coverage</t>
        </is>
      </c>
      <c r="C10" s="6" t="n">
        <v>5</v>
      </c>
      <c r="D10" s="6" t="n">
        <v>3</v>
      </c>
      <c r="E10" s="12" t="inlineStr">
        <is>
          <r>
            <t xml:space="preserve">Explicit SOAP support alongside REST/GraphQL/gRPC (SOAP is often legacy-adjacent); no legacy-framework-specific (older Microsoft web forms, JSP) testing confirmed. Source: </t>
          </r>
          <r>
            <rPr>
              <color rgb="000563C1"/>
              <u val="single"/>
            </rPr>
            <t>stackhawk.com/solutions/dast</t>
          </r>
        </is>
      </c>
      <c r="F10" s="11" t="inlineStr">
        <is>
          <t>paper</t>
        </is>
      </c>
      <c r="G10" s="13" t="n"/>
      <c r="H10" s="14" t="n"/>
      <c r="I10" s="15" t="n"/>
      <c r="J10" s="13" t="n"/>
      <c r="K10" s="14" t="n"/>
      <c r="L10" s="15" t="n"/>
      <c r="M10" s="13" t="n"/>
      <c r="N10" s="14" t="n"/>
      <c r="O10" s="15" t="n"/>
      <c r="P10" s="13" t="n"/>
      <c r="Q10" s="14" t="n"/>
      <c r="R10" s="15" t="n"/>
      <c r="S10" s="13" t="n"/>
      <c r="T10" s="14" t="n"/>
      <c r="U10" s="15" t="n"/>
      <c r="V10" s="13" t="n"/>
      <c r="W10" s="14" t="n"/>
      <c r="X10" s="14" t="n"/>
      <c r="Y10" s="6">
        <f>IF(ISBLANK(V10),"",V10-D10)</f>
        <v/>
      </c>
      <c r="Z10" t="inlineStr">
        <is>
          <t>legacy-app-protocol-support</t>
        </is>
      </c>
      <c r="AA10" t="n">
        <v>0</v>
      </c>
      <c r="AB10">
        <f>IF(ISBLANK(V10),D10,V10)</f>
        <v/>
      </c>
    </row>
    <row r="11">
      <c r="A11" s="16" t="inlineStr">
        <is>
          <t>Shadow/Zombie API Discovery</t>
        </is>
      </c>
      <c r="B11" s="16" t="inlineStr">
        <is>
          <t>Coverage</t>
        </is>
      </c>
      <c r="C11" s="17" t="n">
        <v>4</v>
      </c>
      <c r="D11" s="17" t="n">
        <v>3.5</v>
      </c>
      <c r="E11" s="18" t="inlineStr">
        <is>
          <r>
            <t xml:space="preserve">Named 'API Discovery'/HawkAI feature statically parses connected source repos (GitHub/GitLab/Bitbucket/Azure Repos) to find endpoints missing from OpenAPI specs across Express/Spring/Django/Rails/etc. Source-code-based, not traffic-analysis/JS-bundle-parsing as the rubric's top tier specifies, and no evidence it flags deprecated/versioned endpoints specifically. Source: </t>
          </r>
          <r>
            <rPr>
              <color rgb="000563C1"/>
              <u val="single"/>
            </rPr>
            <t>docs.stackhawk.com/web-app/api-discovery.html</t>
          </r>
          <r>
            <t>, stackhawk.com/product/api-discovery</t>
          </r>
        </is>
      </c>
      <c r="F11" s="16" t="inlineStr">
        <is>
          <t>paper</t>
        </is>
      </c>
      <c r="G11" s="19" t="n"/>
      <c r="H11" s="20" t="n"/>
      <c r="I11" s="21" t="n"/>
      <c r="J11" s="19" t="n"/>
      <c r="K11" s="20" t="n"/>
      <c r="L11" s="21" t="n"/>
      <c r="M11" s="19" t="n"/>
      <c r="N11" s="20" t="n"/>
      <c r="O11" s="21" t="n"/>
      <c r="P11" s="19" t="n"/>
      <c r="Q11" s="20" t="n"/>
      <c r="R11" s="21" t="n"/>
      <c r="S11" s="19" t="n"/>
      <c r="T11" s="20" t="n"/>
      <c r="U11" s="21" t="n"/>
      <c r="V11" s="19" t="n"/>
      <c r="W11" s="20" t="n"/>
      <c r="X11" s="20" t="n"/>
      <c r="Y11" s="17">
        <f>IF(ISBLANK(V11),"",V11-D11)</f>
        <v/>
      </c>
      <c r="Z11" s="22" t="inlineStr">
        <is>
          <t>shadow-api-discovery</t>
        </is>
      </c>
      <c r="AA11" s="22" t="n">
        <v>0</v>
      </c>
      <c r="AB11" s="22">
        <f>IF(ISBLANK(V11),D11,V11)</f>
        <v/>
      </c>
    </row>
    <row r="12">
      <c r="A12" s="11" t="inlineStr">
        <is>
          <t>Business Logic &amp; Workflow Vulnerability Detection</t>
        </is>
      </c>
      <c r="B12" s="11" t="inlineStr">
        <is>
          <t>Coverage</t>
        </is>
      </c>
      <c r="C12" s="6" t="n">
        <v>4</v>
      </c>
      <c r="D12" s="6" t="n">
        <v>4.5</v>
      </c>
      <c r="E12" s="12" t="inlineStr">
        <is>
          <r>
            <t xml:space="preserve">'Intelligent Business Logic Testing' -- explicit, purpose-built multi-profile/multi-user-perspective testing for authorization flaws (BOLA-style), StackHawk's own marketed differentiator. Source: </t>
          </r>
          <r>
            <rPr>
              <color rgb="000563C1"/>
              <u val="single"/>
            </rPr>
            <t>stackhawk.com/blog/business-logic-testing</t>
          </r>
          <r>
            <t>, docs.stackhawk.com/hawkscan/business-logic-testing</t>
          </r>
        </is>
      </c>
      <c r="F12" s="11" t="inlineStr">
        <is>
          <t>paper</t>
        </is>
      </c>
      <c r="G12" s="13" t="n"/>
      <c r="H12" s="14" t="n"/>
      <c r="I12" s="15" t="n"/>
      <c r="J12" s="13" t="n"/>
      <c r="K12" s="14" t="n"/>
      <c r="L12" s="15" t="n"/>
      <c r="M12" s="13" t="n"/>
      <c r="N12" s="14" t="n"/>
      <c r="O12" s="15" t="n"/>
      <c r="P12" s="13" t="n"/>
      <c r="Q12" s="14" t="n"/>
      <c r="R12" s="15" t="n"/>
      <c r="S12" s="13" t="n"/>
      <c r="T12" s="14" t="n"/>
      <c r="U12" s="15" t="n"/>
      <c r="V12" s="13" t="n"/>
      <c r="W12" s="14" t="n"/>
      <c r="X12" s="14" t="n"/>
      <c r="Y12" s="6">
        <f>IF(ISBLANK(V12),"",V12-D12)</f>
        <v/>
      </c>
      <c r="Z12" t="inlineStr">
        <is>
          <t>business-logic-workflow-detection</t>
        </is>
      </c>
      <c r="AA12" t="n">
        <v>0</v>
      </c>
      <c r="AB12">
        <f>IF(ISBLANK(V12),D12,V12)</f>
        <v/>
      </c>
    </row>
    <row r="13">
      <c r="A13" s="16" t="inlineStr">
        <is>
          <t>Compliance &amp; Standards Mapping</t>
        </is>
      </c>
      <c r="B13" s="16" t="inlineStr">
        <is>
          <t>Detection Quality</t>
        </is>
      </c>
      <c r="C13" s="17" t="n">
        <v>4</v>
      </c>
      <c r="D13" s="17" t="n">
        <v>4.5</v>
      </c>
      <c r="E13" s="18" t="inlineStr">
        <is>
          <r>
            <t xml:space="preserve">Explicit, well-documented pre-built compliance reports for PCI-DSS, HIPAA, and SOC 2, including a dedicated PCI DSS v4.0.1 mapping blog post -- best-documented of the three candidates on this point. Source: </t>
          </r>
          <r>
            <rPr>
              <color rgb="000563C1"/>
              <u val="single"/>
            </rPr>
            <t>stackhawk.com/blog/pci-dss-appsec-compliance</t>
          </r>
        </is>
      </c>
      <c r="F13" s="16" t="inlineStr">
        <is>
          <t>paper</t>
        </is>
      </c>
      <c r="G13" s="19" t="n"/>
      <c r="H13" s="20" t="n"/>
      <c r="I13" s="21" t="n"/>
      <c r="J13" s="19" t="n"/>
      <c r="K13" s="20" t="n"/>
      <c r="L13" s="21" t="n"/>
      <c r="M13" s="19" t="n"/>
      <c r="N13" s="20" t="n"/>
      <c r="O13" s="21" t="n"/>
      <c r="P13" s="19" t="n"/>
      <c r="Q13" s="20" t="n"/>
      <c r="R13" s="21" t="n"/>
      <c r="S13" s="19" t="n"/>
      <c r="T13" s="20" t="n"/>
      <c r="U13" s="21" t="n"/>
      <c r="V13" s="19" t="n"/>
      <c r="W13" s="20" t="n"/>
      <c r="X13" s="20" t="n"/>
      <c r="Y13" s="17">
        <f>IF(ISBLANK(V13),"",V13-D13)</f>
        <v/>
      </c>
      <c r="Z13" s="22" t="inlineStr">
        <is>
          <t>compliance-standards-mapping</t>
        </is>
      </c>
      <c r="AA13" s="22" t="n">
        <v>0</v>
      </c>
      <c r="AB13" s="22">
        <f>IF(ISBLANK(V13),D13,V13)</f>
        <v/>
      </c>
    </row>
    <row r="14">
      <c r="A14" s="11" t="inlineStr">
        <is>
          <t>Noise / False-Positive Rate</t>
        </is>
      </c>
      <c r="B14" s="11" t="inlineStr">
        <is>
          <t>Detection Quality</t>
        </is>
      </c>
      <c r="C14" s="6" t="n">
        <v>4</v>
      </c>
      <c r="D14" s="6" t="n">
        <v>4</v>
      </c>
      <c r="E14" s="12" t="inlineStr">
        <is>
          <r>
            <t xml:space="preserve">VENDOR CLAIM. Runtime testing against the live app (not code patterns) reduces FPs per their own materials; documented specific improvements (stripping query/form parameter values to reduce SQLi false positives on input-validated apps) are more concrete than generic marketing, though still first-party and not independently verified. Source: </t>
          </r>
          <r>
            <rPr>
              <color rgb="000563C1"/>
              <u val="single"/>
            </rPr>
            <t>docs.stackhawk.com/changelog.html</t>
          </r>
        </is>
      </c>
      <c r="F14" s="11" t="inlineStr">
        <is>
          <t>paper</t>
        </is>
      </c>
      <c r="G14" s="13" t="n"/>
      <c r="H14" s="14" t="n"/>
      <c r="I14" s="15" t="n"/>
      <c r="J14" s="13" t="n"/>
      <c r="K14" s="14" t="n"/>
      <c r="L14" s="15" t="n"/>
      <c r="M14" s="13" t="n"/>
      <c r="N14" s="14" t="n"/>
      <c r="O14" s="15" t="n"/>
      <c r="P14" s="13" t="n"/>
      <c r="Q14" s="14" t="n"/>
      <c r="R14" s="15" t="n"/>
      <c r="S14" s="13" t="n"/>
      <c r="T14" s="14" t="n"/>
      <c r="U14" s="15" t="n"/>
      <c r="V14" s="13" t="n"/>
      <c r="W14" s="14" t="n"/>
      <c r="X14" s="14" t="n"/>
      <c r="Y14" s="6">
        <f>IF(ISBLANK(V14),"",V14-D14)</f>
        <v/>
      </c>
      <c r="Z14" t="inlineStr">
        <is>
          <t>false-positive-rate</t>
        </is>
      </c>
      <c r="AA14" t="n">
        <v>0</v>
      </c>
      <c r="AB14">
        <f>IF(ISBLANK(V14),D14,V14)</f>
        <v/>
      </c>
    </row>
    <row r="15">
      <c r="A15" s="16" t="inlineStr">
        <is>
          <t>Triage &amp; Remediation Guidance</t>
        </is>
      </c>
      <c r="B15" s="16" t="inlineStr">
        <is>
          <t>Developer Experience</t>
        </is>
      </c>
      <c r="C15" s="17" t="n">
        <v>4</v>
      </c>
      <c r="D15" s="17" t="n">
        <v>4.5</v>
      </c>
      <c r="E15" s="18" t="inlineStr">
        <is>
          <r>
            <t xml:space="preserve">Remediation guidance is written in the target language with code-level, framework-tailored context, not generic security jargon -- fixes can be reviewed and applied directly in the editor. Source: </t>
          </r>
          <r>
            <rPr>
              <color rgb="000563C1"/>
              <u val="single"/>
            </rPr>
            <t>stackhawk.com/blog/how-does-stackhawk-work</t>
          </r>
        </is>
      </c>
      <c r="F15" s="16" t="inlineStr">
        <is>
          <t>paper</t>
        </is>
      </c>
      <c r="G15" s="19" t="n"/>
      <c r="H15" s="20" t="n"/>
      <c r="I15" s="21" t="n"/>
      <c r="J15" s="19" t="n"/>
      <c r="K15" s="20" t="n"/>
      <c r="L15" s="21" t="n"/>
      <c r="M15" s="19" t="n"/>
      <c r="N15" s="20" t="n"/>
      <c r="O15" s="21" t="n"/>
      <c r="P15" s="19" t="n"/>
      <c r="Q15" s="20" t="n"/>
      <c r="R15" s="21" t="n"/>
      <c r="S15" s="19" t="n"/>
      <c r="T15" s="20" t="n"/>
      <c r="U15" s="21" t="n"/>
      <c r="V15" s="19" t="n"/>
      <c r="W15" s="20" t="n"/>
      <c r="X15" s="20" t="n"/>
      <c r="Y15" s="17">
        <f>IF(ISBLANK(V15),"",V15-D15)</f>
        <v/>
      </c>
      <c r="Z15" s="22" t="inlineStr">
        <is>
          <t>triage-remediation-guidance</t>
        </is>
      </c>
      <c r="AA15" s="22" t="n">
        <v>0</v>
      </c>
      <c r="AB15" s="22">
        <f>IF(ISBLANK(V15),D15,V15)</f>
        <v/>
      </c>
    </row>
    <row r="16">
      <c r="A16" s="11" t="inlineStr">
        <is>
          <t>Vulnerability Status Management</t>
        </is>
      </c>
      <c r="B16" s="11" t="inlineStr">
        <is>
          <t>Reporting &amp; Extensibility</t>
        </is>
      </c>
      <c r="C16" s="6" t="n">
        <v>4</v>
      </c>
      <c r="D16" s="6" t="n">
        <v>4</v>
      </c>
      <c r="E16" s="12" t="inlineStr">
        <is>
          <r>
            <t xml:space="preserve">Real, documented finding-lifecycle workflow (mark as Assigned/Risk Accepted/False Positive, tied to Jira issues) -- best-documented of the three original candidates on this criterion. Source: </t>
          </r>
          <r>
            <rPr>
              <color rgb="000563C1"/>
              <u val="single"/>
            </rPr>
            <t>docs.stackhawk.com/integrations/workflows/jira</t>
          </r>
        </is>
      </c>
      <c r="F16" s="11" t="inlineStr">
        <is>
          <t>paper</t>
        </is>
      </c>
      <c r="G16" s="13" t="n"/>
      <c r="H16" s="14" t="n"/>
      <c r="I16" s="15" t="n"/>
      <c r="J16" s="13" t="n"/>
      <c r="K16" s="14" t="n"/>
      <c r="L16" s="15" t="n"/>
      <c r="M16" s="13" t="n"/>
      <c r="N16" s="14" t="n"/>
      <c r="O16" s="15" t="n"/>
      <c r="P16" s="13" t="n"/>
      <c r="Q16" s="14" t="n"/>
      <c r="R16" s="15" t="n"/>
      <c r="S16" s="13" t="n"/>
      <c r="T16" s="14" t="n"/>
      <c r="U16" s="15" t="n"/>
      <c r="V16" s="13" t="n"/>
      <c r="W16" s="14" t="n"/>
      <c r="X16" s="14" t="n"/>
      <c r="Y16" s="6">
        <f>IF(ISBLANK(V16),"",V16-D16)</f>
        <v/>
      </c>
      <c r="Z16" t="inlineStr">
        <is>
          <t>vulnerability-status-management</t>
        </is>
      </c>
      <c r="AA16" t="n">
        <v>0</v>
      </c>
      <c r="AB16">
        <f>IF(ISBLANK(V16),D16,V16)</f>
        <v/>
      </c>
    </row>
    <row r="17">
      <c r="A17" s="16" t="inlineStr">
        <is>
          <t>Vendor Security Posture</t>
        </is>
      </c>
      <c r="B17" s="16" t="inlineStr">
        <is>
          <t>Deployment &amp; Data Governance</t>
        </is>
      </c>
      <c r="C17" s="17" t="n">
        <v>3</v>
      </c>
      <c r="D17" s="17" t="n">
        <v>3.5</v>
      </c>
      <c r="E17" s="18" t="inlineStr">
        <is>
          <r>
            <t xml:space="preserve">StackHawk's security page states annual ISAE3402 SOC 2 Type II audit and annual external pentest, provided on request; a live Trust Center (SafeBase-powered) lists SOC 2 Report, Pentest Report, and Data Flow Diagram as available documents. Reports are gated behind access request/NDA, not freely published, and no ISO 27001 certification claimed. Source: </t>
          </r>
          <r>
            <rPr>
              <color rgb="000563C1"/>
              <u val="single"/>
            </rPr>
            <t>stackhawk.com/security</t>
          </r>
          <r>
            <t>, trust.stackhawk.com</t>
          </r>
        </is>
      </c>
      <c r="F17" s="16" t="inlineStr">
        <is>
          <t>paper</t>
        </is>
      </c>
      <c r="G17" s="19" t="n"/>
      <c r="H17" s="20" t="n"/>
      <c r="I17" s="21" t="n"/>
      <c r="J17" s="19" t="n"/>
      <c r="K17" s="20" t="n"/>
      <c r="L17" s="21" t="n"/>
      <c r="M17" s="19" t="n"/>
      <c r="N17" s="20" t="n"/>
      <c r="O17" s="21" t="n"/>
      <c r="P17" s="19" t="n"/>
      <c r="Q17" s="20" t="n"/>
      <c r="R17" s="21" t="n"/>
      <c r="S17" s="19" t="n"/>
      <c r="T17" s="20" t="n"/>
      <c r="U17" s="21" t="n"/>
      <c r="V17" s="19" t="n"/>
      <c r="W17" s="20" t="n"/>
      <c r="X17" s="20" t="n"/>
      <c r="Y17" s="17">
        <f>IF(ISBLANK(V17),"",V17-D17)</f>
        <v/>
      </c>
      <c r="Z17" s="22" t="inlineStr">
        <is>
          <t>vendor-security-posture</t>
        </is>
      </c>
      <c r="AA17" s="22" t="n">
        <v>0</v>
      </c>
      <c r="AB17" s="22">
        <f>IF(ISBLANK(V17),D17,V17)</f>
        <v/>
      </c>
    </row>
    <row r="18">
      <c r="A18" s="11" t="inlineStr">
        <is>
          <t>Automated Triage / FP-Reduction Engine</t>
        </is>
      </c>
      <c r="B18" s="11" t="inlineStr">
        <is>
          <t>Detection Quality</t>
        </is>
      </c>
      <c r="C18" s="6" t="n">
        <v>3</v>
      </c>
      <c r="D18" s="6" t="n">
        <v>3.5</v>
      </c>
      <c r="E18" s="12" t="inlineStr">
        <is>
          <r>
            <t xml:space="preserve">Real finding-lifecycle workflow (Assigned/Risk Accepted/False Positive) persists manual triage decisions across scans, and documented engineering-level false-positive-reduction improvements (e.g. boolean-blind-SQLi refinement) show ongoing algorithmic tuning -- but no documented automated PoC-generation or cross-scan ML-driven learning engine. Source: </t>
          </r>
          <r>
            <rPr>
              <color rgb="000563C1"/>
              <u val="single"/>
            </rPr>
            <t>docs.stackhawk.com/changelog.html</t>
          </r>
        </is>
      </c>
      <c r="F18" s="11" t="inlineStr">
        <is>
          <t>paper</t>
        </is>
      </c>
      <c r="G18" s="13" t="n"/>
      <c r="H18" s="14" t="n"/>
      <c r="I18" s="15" t="n"/>
      <c r="J18" s="13" t="n"/>
      <c r="K18" s="14" t="n"/>
      <c r="L18" s="15" t="n"/>
      <c r="M18" s="13" t="n"/>
      <c r="N18" s="14" t="n"/>
      <c r="O18" s="15" t="n"/>
      <c r="P18" s="13" t="n"/>
      <c r="Q18" s="14" t="n"/>
      <c r="R18" s="15" t="n"/>
      <c r="S18" s="13" t="n"/>
      <c r="T18" s="14" t="n"/>
      <c r="U18" s="15" t="n"/>
      <c r="V18" s="13" t="n"/>
      <c r="W18" s="14" t="n"/>
      <c r="X18" s="14" t="n"/>
      <c r="Y18" s="6">
        <f>IF(ISBLANK(V18),"",V18-D18)</f>
        <v/>
      </c>
      <c r="Z18" t="inlineStr">
        <is>
          <t>automated-triage-fp-reduction</t>
        </is>
      </c>
      <c r="AA18" t="n">
        <v>0</v>
      </c>
      <c r="AB18">
        <f>IF(ISBLANK(V18),D18,V18)</f>
        <v/>
      </c>
    </row>
    <row r="19">
      <c r="A19" s="16" t="inlineStr">
        <is>
          <t>Predictability of Licensing Model</t>
        </is>
      </c>
      <c r="B19" s="16" t="inlineStr">
        <is>
          <t>Deployment &amp; Data Governance</t>
        </is>
      </c>
      <c r="C19" s="17" t="n">
        <v>3</v>
      </c>
      <c r="D19" s="17" t="n">
        <v>4</v>
      </c>
      <c r="E19" s="18" t="inlineStr">
        <is>
          <r>
            <t xml:space="preserve">Corrected and revised up: pricing is actually contributor-based (not per-application/target as originally stated) -- a real published starting price ($42/contributor/month, Pro at $49/contributor/month with a 20-contributor minimum), which independent commentary notes provides more predictable costs as testing volume increases than per-scan/per-app models. Enterprise-scale tiers still move to custom/contact-sales pricing. Source: </t>
          </r>
          <r>
            <rPr>
              <color rgb="000563C1"/>
              <u val="single"/>
            </rPr>
            <t>stackhawk.com/pricing</t>
          </r>
          <r>
            <t>, beaglesecurity.com/blog/article/stackhawk-pricing</t>
          </r>
        </is>
      </c>
      <c r="F19" s="16" t="inlineStr">
        <is>
          <t>paper</t>
        </is>
      </c>
      <c r="G19" s="19" t="n"/>
      <c r="H19" s="20" t="n"/>
      <c r="I19" s="21" t="n"/>
      <c r="J19" s="19" t="n"/>
      <c r="K19" s="20" t="n"/>
      <c r="L19" s="21" t="n"/>
      <c r="M19" s="19" t="n"/>
      <c r="N19" s="20" t="n"/>
      <c r="O19" s="21" t="n"/>
      <c r="P19" s="19" t="n"/>
      <c r="Q19" s="20" t="n"/>
      <c r="R19" s="21" t="n"/>
      <c r="S19" s="19" t="n"/>
      <c r="T19" s="20" t="n"/>
      <c r="U19" s="21" t="n"/>
      <c r="V19" s="19" t="n"/>
      <c r="W19" s="20" t="n"/>
      <c r="X19" s="20" t="n"/>
      <c r="Y19" s="17">
        <f>IF(ISBLANK(V19),"",V19-D19)</f>
        <v/>
      </c>
      <c r="Z19" s="22" t="inlineStr">
        <is>
          <t>licensing-model-predictability</t>
        </is>
      </c>
      <c r="AA19" s="22" t="n">
        <v>0</v>
      </c>
      <c r="AB19" s="22">
        <f>IF(ISBLANK(V19),D19,V19)</f>
        <v/>
      </c>
    </row>
    <row r="20">
      <c r="A20" s="11" t="inlineStr">
        <is>
          <t>Multi-Tenancy &amp; Access Control</t>
        </is>
      </c>
      <c r="B20" s="11" t="inlineStr">
        <is>
          <t>Deployment &amp; Data Governance</t>
        </is>
      </c>
      <c r="C20" s="6" t="n">
        <v>3</v>
      </c>
      <c r="D20" s="6" t="n">
        <v>4.5</v>
      </c>
      <c r="E20" s="12" t="inlineStr">
        <is>
          <r>
            <t xml:space="preserve">Revised up with a real citation: StackHawk Enterprise explicitly includes role-based permissions, activity history &amp; audit log (tracking org membership changes, scans kicked off, findings triaged), and SSO/SAML -- direct confirmation of fine-grained RBAC that the original pass couldn't find. Source: </t>
          </r>
          <r>
            <rPr>
              <color rgb="000563C1"/>
              <u val="single"/>
            </rPr>
            <t>stackhawk.com/pricing</t>
          </r>
          <r>
            <t>, docs.stackhawk.com/web-app/sso-saml-integration.html</t>
          </r>
        </is>
      </c>
      <c r="F20" s="11" t="inlineStr">
        <is>
          <t>paper</t>
        </is>
      </c>
      <c r="G20" s="13" t="n"/>
      <c r="H20" s="14" t="n"/>
      <c r="I20" s="15" t="n"/>
      <c r="J20" s="13" t="n"/>
      <c r="K20" s="14" t="n"/>
      <c r="L20" s="15" t="n"/>
      <c r="M20" s="13" t="n"/>
      <c r="N20" s="14" t="n"/>
      <c r="O20" s="15" t="n"/>
      <c r="P20" s="13" t="n"/>
      <c r="Q20" s="14" t="n"/>
      <c r="R20" s="15" t="n"/>
      <c r="S20" s="13" t="n"/>
      <c r="T20" s="14" t="n"/>
      <c r="U20" s="15" t="n"/>
      <c r="V20" s="13" t="n"/>
      <c r="W20" s="14" t="n"/>
      <c r="X20" s="14" t="n"/>
      <c r="Y20" s="6">
        <f>IF(ISBLANK(V20),"",V20-D20)</f>
        <v/>
      </c>
      <c r="Z20" t="inlineStr">
        <is>
          <t>multi-tenancy-access-control</t>
        </is>
      </c>
      <c r="AA20" t="n">
        <v>0</v>
      </c>
      <c r="AB20">
        <f>IF(ISBLANK(V20),D20,V20)</f>
        <v/>
      </c>
    </row>
    <row r="21">
      <c r="A21" s="16" t="inlineStr">
        <is>
          <t>Setup &amp; Onboarding Friction</t>
        </is>
      </c>
      <c r="B21" s="16" t="inlineStr">
        <is>
          <t>Developer Experience</t>
        </is>
      </c>
      <c r="C21" s="17" t="n">
        <v>3</v>
      </c>
      <c r="D21" s="17" t="n">
        <v>4</v>
      </c>
      <c r="E21" s="18" t="inlineStr">
        <is>
          <r>
            <t xml:space="preserve">Confirmed minimum config is a genuine three-line YAML file (applicationId/env/host); an onboarding wizard builds a complete config in a few clicks -- fast, but requires SaaS signup/API key, a qualitatively different friction than a docker pull. Source: </t>
          </r>
          <r>
            <rPr>
              <color rgb="000563C1"/>
              <u val="single"/>
            </rPr>
            <t>docs.stackhawk.com/getting-started/quickstart</t>
          </r>
        </is>
      </c>
      <c r="F21" s="16" t="inlineStr">
        <is>
          <t>paper</t>
        </is>
      </c>
      <c r="G21" s="19" t="n"/>
      <c r="H21" s="20" t="n"/>
      <c r="I21" s="21" t="n"/>
      <c r="J21" s="19" t="n"/>
      <c r="K21" s="20" t="n"/>
      <c r="L21" s="21" t="n"/>
      <c r="M21" s="19" t="n"/>
      <c r="N21" s="20" t="n"/>
      <c r="O21" s="21" t="n"/>
      <c r="P21" s="19" t="n"/>
      <c r="Q21" s="20" t="n"/>
      <c r="R21" s="21" t="n"/>
      <c r="S21" s="19" t="n"/>
      <c r="T21" s="20" t="n"/>
      <c r="U21" s="21" t="n"/>
      <c r="V21" s="19" t="n"/>
      <c r="W21" s="20" t="n"/>
      <c r="X21" s="20" t="n"/>
      <c r="Y21" s="17">
        <f>IF(ISBLANK(V21),"",V21-D21)</f>
        <v/>
      </c>
      <c r="Z21" s="22" t="inlineStr">
        <is>
          <t>setup-onboarding-friction</t>
        </is>
      </c>
      <c r="AA21" s="22" t="n">
        <v>0</v>
      </c>
      <c r="AB21" s="22">
        <f>IF(ISBLANK(V21),D21,V21)</f>
        <v/>
      </c>
    </row>
    <row r="22">
      <c r="A22" s="11" t="inlineStr">
        <is>
          <t>Traditional Stateful Web Crawling</t>
        </is>
      </c>
      <c r="B22" s="11" t="inlineStr">
        <is>
          <t>Coverage</t>
        </is>
      </c>
      <c r="C22" s="6" t="n">
        <v>3</v>
      </c>
      <c r="D22" s="6" t="n">
        <v>3.5</v>
      </c>
      <c r="E22" s="12" t="inlineStr">
        <is>
          <r>
            <t xml:space="preserve">Originally built on ZAP's underlying scan engine, but HawkScan Test Engine (HSTE) is now a complete re-engineering of that foundation for CI/CD (container-first, API-first architecture); Selenium-based crawling handles more complex structures than simple traditional HTTP crawling, but StackHawk's positioning/workflow (specs-driven configs) is API-first -- multi-page traditional crawling isn't a marketed strength. Source: </t>
          </r>
          <r>
            <rPr>
              <color rgb="000563C1"/>
              <u val="single"/>
            </rPr>
            <t>appsecsanta.com/stackhawk-vs-zap</t>
          </r>
        </is>
      </c>
      <c r="F22" s="11" t="inlineStr">
        <is>
          <t>paper</t>
        </is>
      </c>
      <c r="G22" s="13" t="n"/>
      <c r="H22" s="14" t="n"/>
      <c r="I22" s="15" t="n"/>
      <c r="J22" s="13" t="n"/>
      <c r="K22" s="14" t="n"/>
      <c r="L22" s="15" t="n"/>
      <c r="M22" s="13" t="n"/>
      <c r="N22" s="14" t="n"/>
      <c r="O22" s="15" t="n"/>
      <c r="P22" s="13" t="n"/>
      <c r="Q22" s="14" t="n"/>
      <c r="R22" s="15" t="n"/>
      <c r="S22" s="13" t="n"/>
      <c r="T22" s="14" t="n"/>
      <c r="U22" s="15" t="n"/>
      <c r="V22" s="13" t="n"/>
      <c r="W22" s="14" t="n"/>
      <c r="X22" s="14" t="n"/>
      <c r="Y22" s="6">
        <f>IF(ISBLANK(V22),"",V22-D22)</f>
        <v/>
      </c>
      <c r="Z22" t="inlineStr">
        <is>
          <t>stateful-web-crawling</t>
        </is>
      </c>
      <c r="AA22" t="n">
        <v>0</v>
      </c>
      <c r="AB22">
        <f>IF(ISBLANK(V22),D22,V22)</f>
        <v/>
      </c>
    </row>
    <row r="23">
      <c r="A23" s="16" t="inlineStr">
        <is>
          <t>ASPM Integration</t>
        </is>
      </c>
      <c r="B23" s="16" t="inlineStr">
        <is>
          <t>Reporting &amp; Extensibility</t>
        </is>
      </c>
      <c r="C23" s="17" t="n">
        <v>2</v>
      </c>
      <c r="D23" s="17" t="n">
        <v>4</v>
      </c>
      <c r="E23" s="18" t="inlineStr">
        <is>
          <r>
            <t xml:space="preserve">Documented DefectDojo integration (a rubric-named ASPM platform) supporting auto-import and auto-close on re-scan via the reimport-scan API, independently corroborated by DefectDojo's own integration page. Requires the customer to build/host their own webhook-consuming bridge app, not fully turnkey. No evidence of an ArmorCode connector (only appears in a 'best ASPM tools' blog listing) or Snyk AppRisk (confirmed relationship is with Snyk Code/SAST, not AppRisk). Source: </t>
          </r>
          <r>
            <rPr>
              <color rgb="000563C1"/>
              <u val="single"/>
            </rPr>
            <t>docs.stackhawk.com/workflow-integrations/defect-dojo.html</t>
          </r>
          <r>
            <t>, defectdojo.com/integrations/stackhawk</t>
          </r>
        </is>
      </c>
      <c r="F23" s="16" t="inlineStr">
        <is>
          <t>paper</t>
        </is>
      </c>
      <c r="G23" s="19" t="n"/>
      <c r="H23" s="20" t="n"/>
      <c r="I23" s="21" t="n"/>
      <c r="J23" s="19" t="n"/>
      <c r="K23" s="20" t="n"/>
      <c r="L23" s="21" t="n"/>
      <c r="M23" s="19" t="n"/>
      <c r="N23" s="20" t="n"/>
      <c r="O23" s="21" t="n"/>
      <c r="P23" s="19" t="n"/>
      <c r="Q23" s="20" t="n"/>
      <c r="R23" s="21" t="n"/>
      <c r="S23" s="19" t="n"/>
      <c r="T23" s="20" t="n"/>
      <c r="U23" s="21" t="n"/>
      <c r="V23" s="19" t="n"/>
      <c r="W23" s="20" t="n"/>
      <c r="X23" s="20" t="n"/>
      <c r="Y23" s="17">
        <f>IF(ISBLANK(V23),"",V23-D23)</f>
        <v/>
      </c>
      <c r="Z23" s="22" t="inlineStr">
        <is>
          <t>aspm-integration</t>
        </is>
      </c>
      <c r="AA23" s="22" t="n">
        <v>0</v>
      </c>
      <c r="AB23" s="22">
        <f>IF(ISBLANK(V23),D23,V23)</f>
        <v/>
      </c>
    </row>
    <row r="24">
      <c r="A24" s="11" t="inlineStr">
        <is>
          <t>Sensitive Financial Data Exposure Detection</t>
        </is>
      </c>
      <c r="B24" s="11" t="inlineStr">
        <is>
          <t>Detection Quality</t>
        </is>
      </c>
      <c r="C24" s="6" t="n">
        <v>2</v>
      </c>
      <c r="D24" s="6" t="n">
        <v>3</v>
      </c>
      <c r="E24" s="12" t="inlineStr">
        <is>
          <r>
            <t xml:space="preserve">Passive scanning scripts include predefined patterns for phone numbers and credit card numbers, and a 'Sensitive Data Identification' feature source-code-scans for PII/PCI/PHI-handling APIs. Credit-card PAN detection is real; no confirmed dedicated pattern for bank routing/account numbers or SSNs. Source: </t>
          </r>
          <r>
            <rPr>
              <color rgb="000563C1"/>
              <u val="single"/>
            </rPr>
            <t>docs.stackhawk.com/hawkscan-scripting/script-types/passive_scripting.html</t>
          </r>
          <r>
            <t>, stackhawk.com/solutions/sensitive-data-identification</t>
          </r>
        </is>
      </c>
      <c r="F24" s="11" t="inlineStr">
        <is>
          <t>paper</t>
        </is>
      </c>
      <c r="G24" s="13" t="n"/>
      <c r="H24" s="14" t="n"/>
      <c r="I24" s="15" t="n"/>
      <c r="J24" s="13" t="n"/>
      <c r="K24" s="14" t="n"/>
      <c r="L24" s="15" t="n"/>
      <c r="M24" s="13" t="n"/>
      <c r="N24" s="14" t="n"/>
      <c r="O24" s="15" t="n"/>
      <c r="P24" s="13" t="n"/>
      <c r="Q24" s="14" t="n"/>
      <c r="R24" s="15" t="n"/>
      <c r="S24" s="13" t="n"/>
      <c r="T24" s="14" t="n"/>
      <c r="U24" s="15" t="n"/>
      <c r="V24" s="13" t="n"/>
      <c r="W24" s="14" t="n"/>
      <c r="X24" s="14" t="n"/>
      <c r="Y24" s="6">
        <f>IF(ISBLANK(V24),"",V24-D24)</f>
        <v/>
      </c>
      <c r="Z24" t="inlineStr">
        <is>
          <t>sensitive-financial-data-exposure</t>
        </is>
      </c>
      <c r="AA24" t="n">
        <v>0</v>
      </c>
      <c r="AB24">
        <f>IF(ISBLANK(V24),D24,V24)</f>
        <v/>
      </c>
    </row>
    <row r="25">
      <c r="A25" s="16" t="inlineStr">
        <is>
          <t>Finding Validation / Proof-of-Exploit</t>
        </is>
      </c>
      <c r="B25" s="16" t="inlineStr">
        <is>
          <t>Detection Quality</t>
        </is>
      </c>
      <c r="C25" s="17" t="n">
        <v>2</v>
      </c>
      <c r="D25" s="17" t="n">
        <v>4</v>
      </c>
      <c r="E25" s="18" t="inlineStr">
        <is>
          <r>
            <t xml:space="preserve">HawkScan runs real dynamic tests against the live running application by design (not static pattern matching), and each finding carries a documented confidence-level field (High/Medium/Low) -- inherently closer to proof-of-exploit validation than a signature-only tool, though Low-confidence results are explicitly flagged as needing independent confirmation. Source: </t>
          </r>
          <r>
            <rPr>
              <color rgb="000563C1"/>
              <u val="single"/>
            </rPr>
            <t>docs.stackhawk.com/hawkscan/viewing-scan-results</t>
          </r>
        </is>
      </c>
      <c r="F25" s="16" t="inlineStr">
        <is>
          <t>paper</t>
        </is>
      </c>
      <c r="G25" s="19" t="n"/>
      <c r="H25" s="20" t="n"/>
      <c r="I25" s="21" t="n"/>
      <c r="J25" s="19" t="n"/>
      <c r="K25" s="20" t="n"/>
      <c r="L25" s="21" t="n"/>
      <c r="M25" s="19" t="n"/>
      <c r="N25" s="20" t="n"/>
      <c r="O25" s="21" t="n"/>
      <c r="P25" s="19" t="n"/>
      <c r="Q25" s="20" t="n"/>
      <c r="R25" s="21" t="n"/>
      <c r="S25" s="19" t="n"/>
      <c r="T25" s="20" t="n"/>
      <c r="U25" s="21" t="n"/>
      <c r="V25" s="19" t="n"/>
      <c r="W25" s="20" t="n"/>
      <c r="X25" s="20" t="n"/>
      <c r="Y25" s="17">
        <f>IF(ISBLANK(V25),"",V25-D25)</f>
        <v/>
      </c>
      <c r="Z25" s="22" t="inlineStr">
        <is>
          <t>finding-validation-proof-of-exploit</t>
        </is>
      </c>
      <c r="AA25" s="22" t="n">
        <v>0</v>
      </c>
      <c r="AB25" s="22">
        <f>IF(ISBLANK(V25),D25,V25)</f>
        <v/>
      </c>
    </row>
    <row r="26">
      <c r="A26" s="11" t="inlineStr">
        <is>
          <t>Historical Risk Trend Dashboards</t>
        </is>
      </c>
      <c r="B26" s="11" t="inlineStr">
        <is>
          <t>Reporting &amp; Extensibility</t>
        </is>
      </c>
      <c r="C26" s="6" t="n">
        <v>2</v>
      </c>
      <c r="D26" s="6" t="n">
        <v>4</v>
      </c>
      <c r="E26" s="12" t="inlineStr">
        <is>
          <r>
            <t xml:space="preserve">Revised up with real citations: the 'Application Security Oversight' product tracks every vulnerability from discovery through validated remediation, provides a real-time risk-posture dashboard, and generates board-level metrics showing whether risk is being reduced over time, not just scan-activity counts -- more concrete than the original 'implied by platform positioning' framing. Source: </t>
          </r>
          <r>
            <rPr>
              <color rgb="000563C1"/>
              <u val="single"/>
            </rPr>
            <t>stackhawk.com/product/oversight</t>
          </r>
        </is>
      </c>
      <c r="F26" s="11" t="inlineStr">
        <is>
          <t>paper</t>
        </is>
      </c>
      <c r="G26" s="13" t="n"/>
      <c r="H26" s="14" t="n"/>
      <c r="I26" s="15" t="n"/>
      <c r="J26" s="13" t="n"/>
      <c r="K26" s="14" t="n"/>
      <c r="L26" s="15" t="n"/>
      <c r="M26" s="13" t="n"/>
      <c r="N26" s="14" t="n"/>
      <c r="O26" s="15" t="n"/>
      <c r="P26" s="13" t="n"/>
      <c r="Q26" s="14" t="n"/>
      <c r="R26" s="15" t="n"/>
      <c r="S26" s="13" t="n"/>
      <c r="T26" s="14" t="n"/>
      <c r="U26" s="15" t="n"/>
      <c r="V26" s="13" t="n"/>
      <c r="W26" s="14" t="n"/>
      <c r="X26" s="14" t="n"/>
      <c r="Y26" s="6">
        <f>IF(ISBLANK(V26),"",V26-D26)</f>
        <v/>
      </c>
      <c r="Z26" t="inlineStr">
        <is>
          <t>historical-risk-trend-dashboards</t>
        </is>
      </c>
      <c r="AA26" t="n">
        <v>0</v>
      </c>
      <c r="AB26">
        <f>IF(ISBLANK(V26),D26,V26)</f>
        <v/>
      </c>
    </row>
    <row r="27">
      <c r="A27" s="16" t="inlineStr">
        <is>
          <t>Reporting Quality / Exportability</t>
        </is>
      </c>
      <c r="B27" s="16" t="inlineStr">
        <is>
          <t>Reporting &amp; Extensibility</t>
        </is>
      </c>
      <c r="C27" s="17" t="n">
        <v>2</v>
      </c>
      <c r="D27" s="17" t="n">
        <v>5</v>
      </c>
      <c r="E27" s="18" t="inlineStr">
        <is>
          <r>
            <t xml:space="preserve">Direct, first-party Jira Cloud integration (auto-creates issues, comments on linked issues, supports any issue type) and a Slack app (scan-start notifications plus a findings summary by risk on completion) -- stronger than ZAP's plugin-based story, comparable to Nuclei's SARIF/tracker integrations. Source: </t>
          </r>
          <r>
            <rPr>
              <color rgb="000563C1"/>
              <u val="single"/>
            </rPr>
            <t>docs.stackhawk.com/integrations/workflows/jira</t>
          </r>
          <r>
            <t>, slack.com/marketplace/A0114L5HGP5-stackhawk</t>
          </r>
        </is>
      </c>
      <c r="F27" s="16" t="inlineStr">
        <is>
          <t>paper</t>
        </is>
      </c>
      <c r="G27" s="19" t="n"/>
      <c r="H27" s="20" t="n"/>
      <c r="I27" s="21" t="n"/>
      <c r="J27" s="19" t="n"/>
      <c r="K27" s="20" t="n"/>
      <c r="L27" s="21" t="n"/>
      <c r="M27" s="19" t="n"/>
      <c r="N27" s="20" t="n"/>
      <c r="O27" s="21" t="n"/>
      <c r="P27" s="19" t="n"/>
      <c r="Q27" s="20" t="n"/>
      <c r="R27" s="21" t="n"/>
      <c r="S27" s="19" t="n"/>
      <c r="T27" s="20" t="n"/>
      <c r="U27" s="21" t="n"/>
      <c r="V27" s="19" t="n"/>
      <c r="W27" s="20" t="n"/>
      <c r="X27" s="20" t="n"/>
      <c r="Y27" s="17">
        <f>IF(ISBLANK(V27),"",V27-D27)</f>
        <v/>
      </c>
      <c r="Z27" s="22" t="inlineStr">
        <is>
          <t>reporting-exportability</t>
        </is>
      </c>
      <c r="AA27" s="22" t="n">
        <v>0</v>
      </c>
      <c r="AB27" s="22">
        <f>IF(ISBLANK(V27),D27,V27)</f>
        <v/>
      </c>
    </row>
    <row r="28">
      <c r="A28" s="11" t="inlineStr">
        <is>
          <t>Scan Performance &amp; Scalability</t>
        </is>
      </c>
      <c r="B28" s="11" t="inlineStr">
        <is>
          <t>Production Safety &amp; Operability</t>
        </is>
      </c>
      <c r="C28" s="6" t="n">
        <v>2</v>
      </c>
      <c r="D28" s="6" t="n">
        <v>4</v>
      </c>
      <c r="E28" s="12" t="inlineStr">
        <is>
          <r>
            <t xml:space="preserve">Unlimited applications/scans with no concurrency restrictions as usage scales per the published pricing model; the scanner runs within the customer's own infrastructure/CI pipeline (eliminating internet latency), and scans complete in minutes, which is what makes per-PR gating practical. Source: </t>
          </r>
          <r>
            <rPr>
              <color rgb="000563C1"/>
              <u val="single"/>
            </rPr>
            <t>stackhawk.com/blog/running-stackhawk-in-cicd</t>
          </r>
        </is>
      </c>
      <c r="F28" s="11" t="inlineStr">
        <is>
          <t>paper</t>
        </is>
      </c>
      <c r="G28" s="13" t="n"/>
      <c r="H28" s="14" t="n"/>
      <c r="I28" s="15" t="n"/>
      <c r="J28" s="13" t="n"/>
      <c r="K28" s="14" t="n"/>
      <c r="L28" s="15" t="n"/>
      <c r="M28" s="13" t="n"/>
      <c r="N28" s="14" t="n"/>
      <c r="O28" s="15" t="n"/>
      <c r="P28" s="13" t="n"/>
      <c r="Q28" s="14" t="n"/>
      <c r="R28" s="15" t="n"/>
      <c r="S28" s="13" t="n"/>
      <c r="T28" s="14" t="n"/>
      <c r="U28" s="15" t="n"/>
      <c r="V28" s="13" t="n"/>
      <c r="W28" s="14" t="n"/>
      <c r="X28" s="14" t="n"/>
      <c r="Y28" s="6">
        <f>IF(ISBLANK(V28),"",V28-D28)</f>
        <v/>
      </c>
      <c r="Z28" t="inlineStr">
        <is>
          <t>scan-performance-scalability</t>
        </is>
      </c>
      <c r="AA28" t="n">
        <v>0</v>
      </c>
      <c r="AB28">
        <f>IF(ISBLANK(V28),D28,V28)</f>
        <v/>
      </c>
    </row>
    <row r="29">
      <c r="A29" s="16" t="inlineStr">
        <is>
          <t>Ticketing &amp; Collaboration Integration</t>
        </is>
      </c>
      <c r="B29" s="16" t="inlineStr">
        <is>
          <t>Reporting &amp; Extensibility</t>
        </is>
      </c>
      <c r="C29" s="17" t="n">
        <v>2</v>
      </c>
      <c r="D29" s="17" t="n">
        <v>4.5</v>
      </c>
      <c r="E29" s="18" t="inlineStr">
        <is>
          <r>
            <t xml:space="preserve">Native Jira/Slack/Teams integration with a real finding-status workflow (Assigned/Risk Accepted/False Positive, linked to Jira tickets). Source: </t>
          </r>
          <r>
            <rPr>
              <color rgb="000563C1"/>
              <u val="single"/>
            </rPr>
            <t>docs.stackhawk.com/integrations/workflows/jira</t>
          </r>
        </is>
      </c>
      <c r="F29" s="16" t="inlineStr">
        <is>
          <t>paper</t>
        </is>
      </c>
      <c r="G29" s="19" t="n"/>
      <c r="H29" s="20" t="n"/>
      <c r="I29" s="21" t="n"/>
      <c r="J29" s="19" t="n"/>
      <c r="K29" s="20" t="n"/>
      <c r="L29" s="21" t="n"/>
      <c r="M29" s="19" t="n"/>
      <c r="N29" s="20" t="n"/>
      <c r="O29" s="21" t="n"/>
      <c r="P29" s="19" t="n"/>
      <c r="Q29" s="20" t="n"/>
      <c r="R29" s="21" t="n"/>
      <c r="S29" s="19" t="n"/>
      <c r="T29" s="20" t="n"/>
      <c r="U29" s="21" t="n"/>
      <c r="V29" s="19" t="n"/>
      <c r="W29" s="20" t="n"/>
      <c r="X29" s="20" t="n"/>
      <c r="Y29" s="17">
        <f>IF(ISBLANK(V29),"",V29-D29)</f>
        <v/>
      </c>
      <c r="Z29" s="22" t="inlineStr">
        <is>
          <t>ticketing-collaboration-integration</t>
        </is>
      </c>
      <c r="AA29" s="22" t="n">
        <v>0</v>
      </c>
      <c r="AB29" s="22">
        <f>IF(ISBLANK(V29),D29,V29)</f>
        <v/>
      </c>
    </row>
    <row r="30">
      <c r="A30" s="11" t="inlineStr">
        <is>
          <t>Asset Discovery &amp; Inventory Tracking</t>
        </is>
      </c>
      <c r="B30" s="11" t="inlineStr">
        <is>
          <t>Coverage</t>
        </is>
      </c>
      <c r="C30" s="6" t="n">
        <v>1</v>
      </c>
      <c r="D30" s="6" t="n">
        <v>3.5</v>
      </c>
      <c r="E30" s="12" t="inlineStr">
        <is>
          <r>
            <t xml:space="preserve">Same 'API Discovery' feature gives a continuously-updated inventory of apps/APIs from connected repos ('always have an up-to-date inventory of your attack surface'). Explicitly repo-connected only ('no agents, no production scanning'), so it will not surface rogue/unmapped assets outside known repos. Source: </t>
          </r>
          <r>
            <rPr>
              <color rgb="000563C1"/>
              <u val="single"/>
            </rPr>
            <t>docs.stackhawk.com/web-app/api-discovery.html</t>
          </r>
          <r>
            <t>, stackhawk.com/product/api-discovery</t>
          </r>
        </is>
      </c>
      <c r="F30" s="11" t="inlineStr">
        <is>
          <t>paper</t>
        </is>
      </c>
      <c r="G30" s="13" t="n"/>
      <c r="H30" s="14" t="n"/>
      <c r="I30" s="15" t="n"/>
      <c r="J30" s="13" t="n"/>
      <c r="K30" s="14" t="n"/>
      <c r="L30" s="15" t="n"/>
      <c r="M30" s="13" t="n"/>
      <c r="N30" s="14" t="n"/>
      <c r="O30" s="15" t="n"/>
      <c r="P30" s="13" t="n"/>
      <c r="Q30" s="14" t="n"/>
      <c r="R30" s="15" t="n"/>
      <c r="S30" s="13" t="n"/>
      <c r="T30" s="14" t="n"/>
      <c r="U30" s="15" t="n"/>
      <c r="V30" s="13" t="n"/>
      <c r="W30" s="14" t="n"/>
      <c r="X30" s="14" t="n"/>
      <c r="Y30" s="6">
        <f>IF(ISBLANK(V30),"",V30-D30)</f>
        <v/>
      </c>
      <c r="Z30" t="inlineStr">
        <is>
          <t>asset-discovery-inventory</t>
        </is>
      </c>
      <c r="AA30" t="n">
        <v>0</v>
      </c>
      <c r="AB30">
        <f>IF(ISBLANK(V30),D30,V30)</f>
        <v/>
      </c>
    </row>
    <row r="31">
      <c r="A31" s="16" t="inlineStr">
        <is>
          <t>Extensibility / Custom Rules</t>
        </is>
      </c>
      <c r="B31" s="16" t="inlineStr">
        <is>
          <t>Reporting &amp; Extensibility</t>
        </is>
      </c>
      <c r="C31" s="17" t="n">
        <v>1</v>
      </c>
      <c r="D31" s="17" t="n">
        <v>4.5</v>
      </c>
      <c r="E31" s="18" t="inlineStr">
        <is>
          <r>
            <t xml:space="preserve">Documented self-service scripting: custom active/passive scan scripts written in Kotlin, deployed via </t>
          </r>
          <r>
            <rPr>
              <color rgb="000563C1"/>
              <u val="single"/>
            </rPr>
            <t>stackhawk.yml</t>
          </r>
          <r>
            <t xml:space="preserve"> + hawk register plugin, with a public examples repo -- satisfies 'well-documented way to add custom rules without vendor involvement'. Source: docs.stackhawk.com/scripting</t>
          </r>
        </is>
      </c>
      <c r="F31" s="16" t="inlineStr">
        <is>
          <t>paper</t>
        </is>
      </c>
      <c r="G31" s="19" t="n"/>
      <c r="H31" s="20" t="n"/>
      <c r="I31" s="21" t="n"/>
      <c r="J31" s="19" t="n"/>
      <c r="K31" s="20" t="n"/>
      <c r="L31" s="21" t="n"/>
      <c r="M31" s="19" t="n"/>
      <c r="N31" s="20" t="n"/>
      <c r="O31" s="21" t="n"/>
      <c r="P31" s="19" t="n"/>
      <c r="Q31" s="20" t="n"/>
      <c r="R31" s="21" t="n"/>
      <c r="S31" s="19" t="n"/>
      <c r="T31" s="20" t="n"/>
      <c r="U31" s="21" t="n"/>
      <c r="V31" s="19" t="n"/>
      <c r="W31" s="20" t="n"/>
      <c r="X31" s="20" t="n"/>
      <c r="Y31" s="17">
        <f>IF(ISBLANK(V31),"",V31-D31)</f>
        <v/>
      </c>
      <c r="Z31" s="22" t="inlineStr">
        <is>
          <t>extensibility-custom-rules</t>
        </is>
      </c>
      <c r="AA31" s="22" t="n">
        <v>0</v>
      </c>
      <c r="AB31" s="22">
        <f>IF(ISBLANK(V31),D31,V31)</f>
        <v/>
      </c>
    </row>
    <row r="32">
      <c r="A32" s="11" t="inlineStr">
        <is>
          <t>IDE / Local Developer Tooling</t>
        </is>
      </c>
      <c r="B32" s="11" t="inlineStr">
        <is>
          <t>Developer Experience</t>
        </is>
      </c>
      <c r="C32" s="6" t="n">
        <v>1</v>
      </c>
      <c r="D32" s="6" t="n">
        <v>4</v>
      </c>
      <c r="E32" s="12" t="inlineStr">
        <is>
          <r>
            <t xml:space="preserve">'HawkScan'/'StackHawk API' Agent Skills installable into VS Code/Copilot CLI/cloud agents via the open agent-skills standard, plus a real local CLI (HawkOp). Chat-invoked rather than an automatic pre-commit/pre-push hook, so short of a full 5. Source: </t>
          </r>
          <r>
            <rPr>
              <color rgb="000563C1"/>
              <u val="single"/>
            </rPr>
            <t>stackhawk.com/blog/github-copilot-secure-code</t>
          </r>
          <r>
            <t>, docs.stackhawk.com/hawkop</t>
          </r>
        </is>
      </c>
      <c r="F32" s="11" t="inlineStr">
        <is>
          <t>paper</t>
        </is>
      </c>
      <c r="G32" s="13" t="n"/>
      <c r="H32" s="14" t="n"/>
      <c r="I32" s="15" t="n"/>
      <c r="J32" s="13" t="n"/>
      <c r="K32" s="14" t="n"/>
      <c r="L32" s="15" t="n"/>
      <c r="M32" s="13" t="n"/>
      <c r="N32" s="14" t="n"/>
      <c r="O32" s="15" t="n"/>
      <c r="P32" s="13" t="n"/>
      <c r="Q32" s="14" t="n"/>
      <c r="R32" s="15" t="n"/>
      <c r="S32" s="13" t="n"/>
      <c r="T32" s="14" t="n"/>
      <c r="U32" s="15" t="n"/>
      <c r="V32" s="13" t="n"/>
      <c r="W32" s="14" t="n"/>
      <c r="X32" s="14" t="n"/>
      <c r="Y32" s="6">
        <f>IF(ISBLANK(V32),"",V32-D32)</f>
        <v/>
      </c>
      <c r="Z32" t="inlineStr">
        <is>
          <t>ide-local-dev-tooling</t>
        </is>
      </c>
      <c r="AA32" t="n">
        <v>0</v>
      </c>
      <c r="AB32">
        <f>IF(ISBLANK(V32),D32,V32)</f>
        <v/>
      </c>
    </row>
    <row r="33">
      <c r="A33" s="16" t="inlineStr">
        <is>
          <t>SIEM/SOAR Integration</t>
        </is>
      </c>
      <c r="B33" s="16" t="inlineStr">
        <is>
          <t>Reporting &amp; Extensibility</t>
        </is>
      </c>
      <c r="C33" s="17" t="n">
        <v>1</v>
      </c>
      <c r="D33" s="17" t="n">
        <v>2.5</v>
      </c>
      <c r="E33" s="18" t="inlineStr">
        <is>
          <r>
            <t xml:space="preserve">No native Splunk/QRadar/Sentinel/SOAR integration found. Documented Datadog integration sends scan results as JSON into Datadog Log Explorer; Datadog separately sells a 'Cloud SIEM' product built on that same pipeline -- a plausible indirect path, not a StackHawk-branded SIEM integration, so treated as inference not vendor claim. Source: </t>
          </r>
          <r>
            <rPr>
              <color rgb="000563C1"/>
              <u val="single"/>
            </rPr>
            <t>docs.stackhawk.com/integrations</t>
          </r>
          <r>
            <t>, docs.stackhawk.com/workflow-integrations/datadog.html</t>
          </r>
        </is>
      </c>
      <c r="F33" s="16" t="inlineStr">
        <is>
          <t>paper</t>
        </is>
      </c>
      <c r="G33" s="19" t="n"/>
      <c r="H33" s="20" t="n"/>
      <c r="I33" s="21" t="n"/>
      <c r="J33" s="19" t="n"/>
      <c r="K33" s="20" t="n"/>
      <c r="L33" s="21" t="n"/>
      <c r="M33" s="19" t="n"/>
      <c r="N33" s="20" t="n"/>
      <c r="O33" s="21" t="n"/>
      <c r="P33" s="19" t="n"/>
      <c r="Q33" s="20" t="n"/>
      <c r="R33" s="21" t="n"/>
      <c r="S33" s="19" t="n"/>
      <c r="T33" s="20" t="n"/>
      <c r="U33" s="21" t="n"/>
      <c r="V33" s="19" t="n"/>
      <c r="W33" s="20" t="n"/>
      <c r="X33" s="20" t="n"/>
      <c r="Y33" s="17">
        <f>IF(ISBLANK(V33),"",V33-D33)</f>
        <v/>
      </c>
      <c r="Z33" s="22" t="inlineStr">
        <is>
          <t>siem-soar-integration</t>
        </is>
      </c>
      <c r="AA33" s="22" t="n">
        <v>0</v>
      </c>
      <c r="AB33" s="22">
        <f>IF(ISBLANK(V33),D33,V33)</f>
        <v/>
      </c>
    </row>
    <row r="34">
      <c r="A34" s="11" t="inlineStr">
        <is>
          <t>Third-Party/Partner API Risk Assessment</t>
        </is>
      </c>
      <c r="B34" s="11" t="inlineStr">
        <is>
          <t>Coverage</t>
        </is>
      </c>
      <c r="C34" s="6" t="n">
        <v>1</v>
      </c>
      <c r="D34" s="6" t="n">
        <v>2</v>
      </c>
      <c r="E34" s="12" t="inlineStr">
        <is>
          <r>
            <t xml:space="preserve">No dedicated vendor-risk-assessment output shaping found for partner-facing APIs specifically. Source: </t>
          </r>
          <r>
            <rPr>
              <color rgb="000563C1"/>
              <u val="single"/>
            </rPr>
            <t>stackhawk.com/solutions/stackhawk-for-financial-sector</t>
          </r>
          <r>
            <t xml:space="preserve"> (only generic 'sensitive financial data' marketing language; no open-banking/partner-API-specific scanning mode or vendor-risk-formatted output)</t>
          </r>
        </is>
      </c>
      <c r="F34" s="11" t="inlineStr">
        <is>
          <t>paper</t>
        </is>
      </c>
      <c r="G34" s="13" t="n"/>
      <c r="H34" s="14" t="n"/>
      <c r="I34" s="15" t="n"/>
      <c r="J34" s="13" t="n"/>
      <c r="K34" s="14" t="n"/>
      <c r="L34" s="15" t="n"/>
      <c r="M34" s="13" t="n"/>
      <c r="N34" s="14" t="n"/>
      <c r="O34" s="15" t="n"/>
      <c r="P34" s="13" t="n"/>
      <c r="Q34" s="14" t="n"/>
      <c r="R34" s="15" t="n"/>
      <c r="S34" s="13" t="n"/>
      <c r="T34" s="14" t="n"/>
      <c r="U34" s="15" t="n"/>
      <c r="V34" s="13" t="n"/>
      <c r="W34" s="14" t="n"/>
      <c r="X34" s="14" t="n"/>
      <c r="Y34" s="6">
        <f>IF(ISBLANK(V34),"",V34-D34)</f>
        <v/>
      </c>
      <c r="Z34" t="inlineStr">
        <is>
          <t>third-party-partner-api-risk</t>
        </is>
      </c>
      <c r="AA34" t="n">
        <v>0</v>
      </c>
      <c r="AB34">
        <f>IF(ISBLANK(V34),D34,V34)</f>
        <v/>
      </c>
    </row>
    <row r="35">
      <c r="A35" s="16" t="inlineStr">
        <is>
          <t>Auto-Remediation / Auto-PR</t>
        </is>
      </c>
      <c r="B35" s="16" t="inlineStr">
        <is>
          <t>Developer Experience</t>
        </is>
      </c>
      <c r="C35" s="17" t="n">
        <v>0</v>
      </c>
      <c r="D35" s="17" t="n">
        <v>2.5</v>
      </c>
      <c r="E35" s="18" t="inlineStr">
        <is>
          <r>
            <t xml:space="preserve">Delivers findings into PR comments and auto-generates a reproduction cURL command -- doesn't generate a fix diff or open a PR automatically. Source: </t>
          </r>
          <r>
            <rPr>
              <color rgb="000563C1"/>
              <u val="single"/>
            </rPr>
            <t>docs.stackhawk.com/integrations/workflows/github/github-pr-checks</t>
          </r>
          <r>
            <t xml:space="preserve"> (only posts commit statuses and PR comment summaries linking to findings, no auto-generated fix diff or auto-opened PR), stackhawk.com/blog/github-copilot-secure-code (Copilot Agent Skill's Fix step is user-invoked Copilot chat editing, not an autonomous PR)</t>
          </r>
        </is>
      </c>
      <c r="F35" s="16" t="inlineStr">
        <is>
          <t>paper</t>
        </is>
      </c>
      <c r="G35" s="19" t="n"/>
      <c r="H35" s="20" t="n"/>
      <c r="I35" s="21" t="n"/>
      <c r="J35" s="19" t="n"/>
      <c r="K35" s="20" t="n"/>
      <c r="L35" s="21" t="n"/>
      <c r="M35" s="19" t="n"/>
      <c r="N35" s="20" t="n"/>
      <c r="O35" s="21" t="n"/>
      <c r="P35" s="19" t="n"/>
      <c r="Q35" s="20" t="n"/>
      <c r="R35" s="21" t="n"/>
      <c r="S35" s="19" t="n"/>
      <c r="T35" s="20" t="n"/>
      <c r="U35" s="21" t="n"/>
      <c r="V35" s="19" t="n"/>
      <c r="W35" s="20" t="n"/>
      <c r="X35" s="20" t="n"/>
      <c r="Y35" s="17">
        <f>IF(ISBLANK(V35),"",V35-D35)</f>
        <v/>
      </c>
      <c r="Z35" s="22" t="inlineStr">
        <is>
          <t>auto-remediation-pr</t>
        </is>
      </c>
      <c r="AA35" s="22" t="n">
        <v>0</v>
      </c>
      <c r="AB35" s="22">
        <f>IF(ISBLANK(V35),D35,V35)</f>
        <v/>
      </c>
    </row>
    <row r="36">
      <c r="A36" s="11" t="inlineStr">
        <is>
          <t>Incremental / Differential Scanning</t>
        </is>
      </c>
      <c r="B36" s="11" t="inlineStr">
        <is>
          <t>Production Safety &amp; Operability</t>
        </is>
      </c>
      <c r="C36" s="6" t="n">
        <v>0</v>
      </c>
      <c r="D36" s="6" t="n">
        <v>3</v>
      </c>
      <c r="E36" s="12" t="inlineStr">
        <is>
          <r>
            <t xml:space="preserve">Documented includePaths/excludePaths scan-scoping config in </t>
          </r>
          <r>
            <rPr>
              <color rgb="000563C1"/>
              <u val="single"/>
            </rPr>
            <t>stackhawk.yml</t>
          </r>
          <r>
            <t xml:space="preserve"> matches rubric level 3 exactly. Marketing phrase 'fast incremental scans' has no accompanying technical documentation of automatic changed-code detection. Source: docs.stackhawk.com/hawkscan/configuration</t>
          </r>
        </is>
      </c>
      <c r="F36" s="11" t="inlineStr">
        <is>
          <t>paper</t>
        </is>
      </c>
      <c r="G36" s="13" t="n"/>
      <c r="H36" s="14" t="n"/>
      <c r="I36" s="15" t="n"/>
      <c r="J36" s="13" t="n"/>
      <c r="K36" s="14" t="n"/>
      <c r="L36" s="15" t="n"/>
      <c r="M36" s="13" t="n"/>
      <c r="N36" s="14" t="n"/>
      <c r="O36" s="15" t="n"/>
      <c r="P36" s="13" t="n"/>
      <c r="Q36" s="14" t="n"/>
      <c r="R36" s="15" t="n"/>
      <c r="S36" s="13" t="n"/>
      <c r="T36" s="14" t="n"/>
      <c r="U36" s="15" t="n"/>
      <c r="V36" s="13" t="n"/>
      <c r="W36" s="14" t="n"/>
      <c r="X36" s="14" t="n"/>
      <c r="Y36" s="6">
        <f>IF(ISBLANK(V36),"",V36-D36)</f>
        <v/>
      </c>
      <c r="Z36" t="inlineStr">
        <is>
          <t>incremental-differential-scanning</t>
        </is>
      </c>
      <c r="AA36" t="n">
        <v>0</v>
      </c>
      <c r="AB36">
        <f>IF(ISBLANK(V36),D36,V36)</f>
        <v/>
      </c>
    </row>
    <row r="37" ht="20" customHeight="1">
      <c r="A37" s="23" t="inlineStr">
        <is>
          <t>Summary</t>
        </is>
      </c>
    </row>
    <row r="38">
      <c r="A38" s="24" t="inlineStr">
        <is>
          <t>Coverage</t>
        </is>
      </c>
      <c r="B38" s="24" t="n"/>
      <c r="C38" s="24">
        <f>SUMPRODUCT((B4:B36="Coverage")*C4:C36*AB4:AB36*(1-AA4:AA36))/5</f>
        <v/>
      </c>
      <c r="D38" s="24">
        <f>TEXT(C38,"0.0")&amp;"/"&amp;TEXT(E38,"0")&amp;" available points"</f>
        <v/>
      </c>
      <c r="E38" s="24">
        <f>SUMPRODUCT((B4:B36="Coverage")*C4:C36*(1-AA4:AA36))</f>
        <v/>
      </c>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row>
    <row r="39">
      <c r="A39" t="inlineStr">
        <is>
          <t>Detection Quality</t>
        </is>
      </c>
      <c r="C39">
        <f>SUMPRODUCT((B4:B36="Detection Quality")*C4:C36*AB4:AB36*(1-AA4:AA36))/5</f>
        <v/>
      </c>
      <c r="D39">
        <f>TEXT(C39,"0.0")&amp;"/"&amp;TEXT(E39,"0")&amp;" available points"</f>
        <v/>
      </c>
      <c r="E39">
        <f>SUMPRODUCT((B4:B36="Detection Quality")*C4:C36*(1-AA4:AA36))</f>
        <v/>
      </c>
    </row>
    <row r="40">
      <c r="A40" t="inlineStr">
        <is>
          <t>Production Safety &amp; Operability</t>
        </is>
      </c>
      <c r="C40">
        <f>SUMPRODUCT((B4:B36="Production Safety &amp; Operability")*C4:C36*AB4:AB36*(1-AA4:AA36))/5</f>
        <v/>
      </c>
      <c r="D40">
        <f>TEXT(C40,"0.0")&amp;"/"&amp;TEXT(E40,"0")&amp;" available points"</f>
        <v/>
      </c>
      <c r="E40">
        <f>SUMPRODUCT((B4:B36="Production Safety &amp; Operability")*C4:C36*(1-AA4:AA36))</f>
        <v/>
      </c>
    </row>
    <row r="41">
      <c r="A41" t="inlineStr">
        <is>
          <t>Developer Experience</t>
        </is>
      </c>
      <c r="C41">
        <f>SUMPRODUCT((B4:B36="Developer Experience")*C4:C36*AB4:AB36*(1-AA4:AA36))/5</f>
        <v/>
      </c>
      <c r="D41">
        <f>TEXT(C41,"0.0")&amp;"/"&amp;TEXT(E41,"0")&amp;" available points"</f>
        <v/>
      </c>
      <c r="E41">
        <f>SUMPRODUCT((B4:B36="Developer Experience")*C4:C36*(1-AA4:AA36))</f>
        <v/>
      </c>
    </row>
    <row r="42">
      <c r="A42" t="inlineStr">
        <is>
          <t>Reporting &amp; Extensibility</t>
        </is>
      </c>
      <c r="C42">
        <f>SUMPRODUCT((B4:B36="Reporting &amp; Extensibility")*C4:C36*AB4:AB36*(1-AA4:AA36))/5</f>
        <v/>
      </c>
      <c r="D42">
        <f>TEXT(C42,"0.0")&amp;"/"&amp;TEXT(E42,"0")&amp;" available points"</f>
        <v/>
      </c>
      <c r="E42">
        <f>SUMPRODUCT((B4:B36="Reporting &amp; Extensibility")*C4:C36*(1-AA4:AA36))</f>
        <v/>
      </c>
    </row>
    <row r="43">
      <c r="A43" t="inlineStr">
        <is>
          <t>Deployment &amp; Data Governance</t>
        </is>
      </c>
      <c r="C43">
        <f>SUMPRODUCT((B4:B36="Deployment &amp; Data Governance")*C4:C36*AB4:AB36*(1-AA4:AA36))/5</f>
        <v/>
      </c>
      <c r="D43">
        <f>TEXT(C43,"0.0")&amp;"/"&amp;TEXT(E43,"0")&amp;" available points"</f>
        <v/>
      </c>
      <c r="E43">
        <f>SUMPRODUCT((B4:B36="Deployment &amp; Data Governance")*C4:C36*(1-AA4:AA36))</f>
        <v/>
      </c>
    </row>
    <row r="44">
      <c r="A44" t="inlineStr">
        <is>
          <t>Weighted Total</t>
        </is>
      </c>
      <c r="C44">
        <f>SUMPRODUCT(C4:C36,AB4:AB36,(1-AA4:AA36))/5</f>
        <v/>
      </c>
      <c r="D44">
        <f>TEXT(C44,"0.0")&amp;"/"&amp;TEXT(E44,"0")&amp;" available points"</f>
        <v/>
      </c>
      <c r="E44">
        <f>SUMPRODUCT(C4:C36,(1-AA4:AA36))</f>
        <v/>
      </c>
    </row>
  </sheetData>
  <sheetProtection selectLockedCells="0" selectUnlockedCells="0" sheet="1" objects="0" insertRows="1" insertHyperlinks="1" autoFilter="1" scenarios="0" formatColumns="1" deleteColumns="1" insertColumns="1" pivotTables="1" deleteRows="1" formatCells="1" formatRows="1" sort="1"/>
  <mergeCells count="5">
    <mergeCell ref="G2:I2"/>
    <mergeCell ref="J2:L2"/>
    <mergeCell ref="P2:R2"/>
    <mergeCell ref="M2:O2"/>
    <mergeCell ref="S2:U2"/>
  </mergeCells>
  <conditionalFormatting sqref="G4">
    <cfRule type="cellIs" priority="1" operator="equal" dxfId="0">
      <formula>""</formula>
    </cfRule>
  </conditionalFormatting>
  <conditionalFormatting sqref="J4">
    <cfRule type="cellIs" priority="2" operator="equal" dxfId="0">
      <formula>""</formula>
    </cfRule>
  </conditionalFormatting>
  <conditionalFormatting sqref="M4">
    <cfRule type="cellIs" priority="3" operator="equal" dxfId="0">
      <formula>""</formula>
    </cfRule>
  </conditionalFormatting>
  <conditionalFormatting sqref="P4">
    <cfRule type="cellIs" priority="4" operator="equal" dxfId="0">
      <formula>""</formula>
    </cfRule>
  </conditionalFormatting>
  <conditionalFormatting sqref="S4">
    <cfRule type="cellIs" priority="5" operator="equal" dxfId="0">
      <formula>""</formula>
    </cfRule>
  </conditionalFormatting>
  <conditionalFormatting sqref="V4">
    <cfRule type="cellIs" priority="6" operator="equal" dxfId="0">
      <formula>""</formula>
    </cfRule>
  </conditionalFormatting>
  <conditionalFormatting sqref="G5">
    <cfRule type="cellIs" priority="7" operator="equal" dxfId="0">
      <formula>""</formula>
    </cfRule>
  </conditionalFormatting>
  <conditionalFormatting sqref="J5">
    <cfRule type="cellIs" priority="8" operator="equal" dxfId="0">
      <formula>""</formula>
    </cfRule>
  </conditionalFormatting>
  <conditionalFormatting sqref="M5">
    <cfRule type="cellIs" priority="9" operator="equal" dxfId="0">
      <formula>""</formula>
    </cfRule>
  </conditionalFormatting>
  <conditionalFormatting sqref="P5">
    <cfRule type="cellIs" priority="10" operator="equal" dxfId="0">
      <formula>""</formula>
    </cfRule>
  </conditionalFormatting>
  <conditionalFormatting sqref="S5">
    <cfRule type="cellIs" priority="11" operator="equal" dxfId="0">
      <formula>""</formula>
    </cfRule>
  </conditionalFormatting>
  <conditionalFormatting sqref="V5">
    <cfRule type="cellIs" priority="12" operator="equal" dxfId="0">
      <formula>""</formula>
    </cfRule>
  </conditionalFormatting>
  <conditionalFormatting sqref="G6">
    <cfRule type="cellIs" priority="13" operator="equal" dxfId="0">
      <formula>""</formula>
    </cfRule>
  </conditionalFormatting>
  <conditionalFormatting sqref="J6">
    <cfRule type="cellIs" priority="14" operator="equal" dxfId="0">
      <formula>""</formula>
    </cfRule>
  </conditionalFormatting>
  <conditionalFormatting sqref="M6">
    <cfRule type="cellIs" priority="15" operator="equal" dxfId="0">
      <formula>""</formula>
    </cfRule>
  </conditionalFormatting>
  <conditionalFormatting sqref="P6">
    <cfRule type="cellIs" priority="16" operator="equal" dxfId="0">
      <formula>""</formula>
    </cfRule>
  </conditionalFormatting>
  <conditionalFormatting sqref="S6">
    <cfRule type="cellIs" priority="17" operator="equal" dxfId="0">
      <formula>""</formula>
    </cfRule>
  </conditionalFormatting>
  <conditionalFormatting sqref="V6">
    <cfRule type="cellIs" priority="18" operator="equal" dxfId="0">
      <formula>""</formula>
    </cfRule>
  </conditionalFormatting>
  <conditionalFormatting sqref="G7">
    <cfRule type="cellIs" priority="19" operator="equal" dxfId="0">
      <formula>""</formula>
    </cfRule>
  </conditionalFormatting>
  <conditionalFormatting sqref="J7">
    <cfRule type="cellIs" priority="20" operator="equal" dxfId="0">
      <formula>""</formula>
    </cfRule>
  </conditionalFormatting>
  <conditionalFormatting sqref="M7">
    <cfRule type="cellIs" priority="21" operator="equal" dxfId="0">
      <formula>""</formula>
    </cfRule>
  </conditionalFormatting>
  <conditionalFormatting sqref="P7">
    <cfRule type="cellIs" priority="22" operator="equal" dxfId="0">
      <formula>""</formula>
    </cfRule>
  </conditionalFormatting>
  <conditionalFormatting sqref="S7">
    <cfRule type="cellIs" priority="23" operator="equal" dxfId="0">
      <formula>""</formula>
    </cfRule>
  </conditionalFormatting>
  <conditionalFormatting sqref="V7">
    <cfRule type="cellIs" priority="24" operator="equal" dxfId="0">
      <formula>""</formula>
    </cfRule>
  </conditionalFormatting>
  <conditionalFormatting sqref="G8">
    <cfRule type="cellIs" priority="25" operator="equal" dxfId="0">
      <formula>""</formula>
    </cfRule>
  </conditionalFormatting>
  <conditionalFormatting sqref="J8">
    <cfRule type="cellIs" priority="26" operator="equal" dxfId="0">
      <formula>""</formula>
    </cfRule>
  </conditionalFormatting>
  <conditionalFormatting sqref="M8">
    <cfRule type="cellIs" priority="27" operator="equal" dxfId="0">
      <formula>""</formula>
    </cfRule>
  </conditionalFormatting>
  <conditionalFormatting sqref="P8">
    <cfRule type="cellIs" priority="28" operator="equal" dxfId="0">
      <formula>""</formula>
    </cfRule>
  </conditionalFormatting>
  <conditionalFormatting sqref="S8">
    <cfRule type="cellIs" priority="29" operator="equal" dxfId="0">
      <formula>""</formula>
    </cfRule>
  </conditionalFormatting>
  <conditionalFormatting sqref="V8">
    <cfRule type="cellIs" priority="30" operator="equal" dxfId="0">
      <formula>""</formula>
    </cfRule>
  </conditionalFormatting>
  <conditionalFormatting sqref="G9">
    <cfRule type="cellIs" priority="31" operator="equal" dxfId="0">
      <formula>""</formula>
    </cfRule>
  </conditionalFormatting>
  <conditionalFormatting sqref="J9">
    <cfRule type="cellIs" priority="32" operator="equal" dxfId="0">
      <formula>""</formula>
    </cfRule>
  </conditionalFormatting>
  <conditionalFormatting sqref="M9">
    <cfRule type="cellIs" priority="33" operator="equal" dxfId="0">
      <formula>""</formula>
    </cfRule>
  </conditionalFormatting>
  <conditionalFormatting sqref="P9">
    <cfRule type="cellIs" priority="34" operator="equal" dxfId="0">
      <formula>""</formula>
    </cfRule>
  </conditionalFormatting>
  <conditionalFormatting sqref="S9">
    <cfRule type="cellIs" priority="35" operator="equal" dxfId="0">
      <formula>""</formula>
    </cfRule>
  </conditionalFormatting>
  <conditionalFormatting sqref="V9">
    <cfRule type="cellIs" priority="36" operator="equal" dxfId="0">
      <formula>""</formula>
    </cfRule>
  </conditionalFormatting>
  <conditionalFormatting sqref="G10">
    <cfRule type="cellIs" priority="37" operator="equal" dxfId="0">
      <formula>""</formula>
    </cfRule>
  </conditionalFormatting>
  <conditionalFormatting sqref="J10">
    <cfRule type="cellIs" priority="38" operator="equal" dxfId="0">
      <formula>""</formula>
    </cfRule>
  </conditionalFormatting>
  <conditionalFormatting sqref="M10">
    <cfRule type="cellIs" priority="39" operator="equal" dxfId="0">
      <formula>""</formula>
    </cfRule>
  </conditionalFormatting>
  <conditionalFormatting sqref="P10">
    <cfRule type="cellIs" priority="40" operator="equal" dxfId="0">
      <formula>""</formula>
    </cfRule>
  </conditionalFormatting>
  <conditionalFormatting sqref="S10">
    <cfRule type="cellIs" priority="41" operator="equal" dxfId="0">
      <formula>""</formula>
    </cfRule>
  </conditionalFormatting>
  <conditionalFormatting sqref="V10">
    <cfRule type="cellIs" priority="42" operator="equal" dxfId="0">
      <formula>""</formula>
    </cfRule>
  </conditionalFormatting>
  <conditionalFormatting sqref="G11">
    <cfRule type="cellIs" priority="43" operator="equal" dxfId="0">
      <formula>""</formula>
    </cfRule>
  </conditionalFormatting>
  <conditionalFormatting sqref="J11">
    <cfRule type="cellIs" priority="44" operator="equal" dxfId="0">
      <formula>""</formula>
    </cfRule>
  </conditionalFormatting>
  <conditionalFormatting sqref="M11">
    <cfRule type="cellIs" priority="45" operator="equal" dxfId="0">
      <formula>""</formula>
    </cfRule>
  </conditionalFormatting>
  <conditionalFormatting sqref="P11">
    <cfRule type="cellIs" priority="46" operator="equal" dxfId="0">
      <formula>""</formula>
    </cfRule>
  </conditionalFormatting>
  <conditionalFormatting sqref="S11">
    <cfRule type="cellIs" priority="47" operator="equal" dxfId="0">
      <formula>""</formula>
    </cfRule>
  </conditionalFormatting>
  <conditionalFormatting sqref="V11">
    <cfRule type="cellIs" priority="48" operator="equal" dxfId="0">
      <formula>""</formula>
    </cfRule>
  </conditionalFormatting>
  <conditionalFormatting sqref="G12">
    <cfRule type="cellIs" priority="49" operator="equal" dxfId="0">
      <formula>""</formula>
    </cfRule>
  </conditionalFormatting>
  <conditionalFormatting sqref="J12">
    <cfRule type="cellIs" priority="50" operator="equal" dxfId="0">
      <formula>""</formula>
    </cfRule>
  </conditionalFormatting>
  <conditionalFormatting sqref="M12">
    <cfRule type="cellIs" priority="51" operator="equal" dxfId="0">
      <formula>""</formula>
    </cfRule>
  </conditionalFormatting>
  <conditionalFormatting sqref="P12">
    <cfRule type="cellIs" priority="52" operator="equal" dxfId="0">
      <formula>""</formula>
    </cfRule>
  </conditionalFormatting>
  <conditionalFormatting sqref="S12">
    <cfRule type="cellIs" priority="53" operator="equal" dxfId="0">
      <formula>""</formula>
    </cfRule>
  </conditionalFormatting>
  <conditionalFormatting sqref="V12">
    <cfRule type="cellIs" priority="54" operator="equal" dxfId="0">
      <formula>""</formula>
    </cfRule>
  </conditionalFormatting>
  <conditionalFormatting sqref="G13">
    <cfRule type="cellIs" priority="55" operator="equal" dxfId="0">
      <formula>""</formula>
    </cfRule>
  </conditionalFormatting>
  <conditionalFormatting sqref="J13">
    <cfRule type="cellIs" priority="56" operator="equal" dxfId="0">
      <formula>""</formula>
    </cfRule>
  </conditionalFormatting>
  <conditionalFormatting sqref="M13">
    <cfRule type="cellIs" priority="57" operator="equal" dxfId="0">
      <formula>""</formula>
    </cfRule>
  </conditionalFormatting>
  <conditionalFormatting sqref="P13">
    <cfRule type="cellIs" priority="58" operator="equal" dxfId="0">
      <formula>""</formula>
    </cfRule>
  </conditionalFormatting>
  <conditionalFormatting sqref="S13">
    <cfRule type="cellIs" priority="59" operator="equal" dxfId="0">
      <formula>""</formula>
    </cfRule>
  </conditionalFormatting>
  <conditionalFormatting sqref="V13">
    <cfRule type="cellIs" priority="60" operator="equal" dxfId="0">
      <formula>""</formula>
    </cfRule>
  </conditionalFormatting>
  <dataValidations count="2">
    <dataValidation sqref="G4 G5 G6 G7 G8 G9 G10 G11 G12 G13 G14 G15 G16 G17 G18 G19 G20 G21 G22 G23 G24 G25 G26 G27 G28 G29 G30 G31 G32 G33 G34 G35 G36 J4 J5 J6 J7 J8 J9 J10 J11 J12 J13 J14 J15 J16 J17 J18 J19 J20 J21 J22 J23 J24 J25 J26 J27 J28 J29 J30 J31 J32 J33 J34 J35 J36 M4 M5 M6 M7 M8 M9 M10 M11 M12 M13 M14 M15 M16 M17 M18 M19 M20 M21 M22 M23 M24 M25 M26 M27 M28 M29 M30 M31 M32 M33 M34 M35 M36 P4 P5 P6 P7 P8 P9 P10 P11 P12 P13 P14 P15 P16 P17 P18 P19 P20 P21 P22 P23 P24 P25 P26 P27 P28 P29 P30 P31 P32 P33 P34 P35 P36 S4 S5 S6 S7 S8 S9 S10 S11 S12 S13 S14 S15 S16 S17 S18 S19 S20 S21 S22 S23 S24 S25 S26 S27 S28 S29 S30 S31 S32 S33 S34 S35 S36 V4 V5 V6 V7 V8 V9 V10 V11 V12 V13 V14 V15 V16 V17 V18 V19 V20 V21 V22 V23 V24 V25 V26 V27 V28 V29 V30 V31 V32 V33 V34 V35 V36" showDropDown="0" showInputMessage="0" showErrorMessage="1" allowBlank="1" errorTitle="Invalid score" error="Score must be one of: 1.0, 1.5, 2.0, 2.5, 3.0, 3.5, 4.0, 4.5, 5.0" type="list" errorStyle="stop">
      <formula1>"1.0,1.5,2.0,2.5,3.0,3.5,4.0,4.5,5.0"</formula1>
    </dataValidation>
    <dataValidation sqref="H4 H5 H6 H7 H8 H9 H10 H11 H12 H13 H14 H15 H16 H17 H18 H19 H20 H21 H22 H23 H24 H25 H26 H27 H28 H29 H30 H31 H32 H33 H34 H35 H36 K4 K5 K6 K7 K8 K9 K10 K11 K12 K13 K14 K15 K16 K17 K18 K19 K20 K21 K22 K23 K24 K25 K26 K27 K28 K29 K30 K31 K32 K33 K34 K35 K36 N4 N5 N6 N7 N8 N9 N10 N11 N12 N13 N14 N15 N16 N17 N18 N19 N20 N21 N22 N23 N24 N25 N26 N27 N28 N29 N30 N31 N32 N33 N34 N35 N36 Q4 Q5 Q6 Q7 Q8 Q9 Q10 Q11 Q12 Q13 Q14 Q15 Q16 Q17 Q18 Q19 Q20 Q21 Q22 Q23 Q24 Q25 Q26 Q27 Q28 Q29 Q30 Q31 Q32 Q33 Q34 Q35 Q36 T4 T5 T6 T7 T8 T9 T10 T11 T12 T13 T14 T15 T16 T17 T18 T19 T20 T21 T22 T23 T24 T25 T26 T27 T28 T29 T30 T31 T32 T33 T34 T35 T36" showDropDown="0" showInputMessage="0" showErrorMessage="1" allowBlank="1" errorTitle="Invalid entry" error="Value must be &quot;Yes&quot; (or left blank)." type="list" errorStyle="stop">
      <formula1>"Yes"</formula1>
    </dataValidation>
  </dataValidation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s>
  <pageMargins left="0.75" right="0.75" top="1" bottom="1" header="0.5" footer="0.5"/>
</worksheet>
</file>

<file path=xl/worksheets/sheet8.xml><?xml version="1.0" encoding="utf-8"?>
<worksheet xmlns="http://schemas.openxmlformats.org/spreadsheetml/2006/main">
  <sheetPr>
    <tabColor rgb="006A994E"/>
    <outlinePr summaryBelow="1" summaryRight="1"/>
    <pageSetUpPr/>
  </sheetPr>
  <dimension ref="A1:AB44"/>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0" customWidth="1" min="3" max="3"/>
    <col width="14" customWidth="1" min="4" max="4"/>
    <col width="45" customWidth="1" min="5" max="5"/>
    <col width="16" customWidth="1" min="6" max="6"/>
    <col width="12" customWidth="1" min="7" max="7"/>
    <col width="12" customWidth="1" min="8" max="8"/>
    <col width="40" customWidth="1" min="9" max="9"/>
    <col width="12" customWidth="1" min="10" max="10"/>
    <col width="12" customWidth="1" min="11" max="11"/>
    <col width="40" customWidth="1" min="12" max="12"/>
    <col width="12" customWidth="1" min="13" max="13"/>
    <col width="12" customWidth="1" min="14" max="14"/>
    <col width="40" customWidth="1" min="15" max="15"/>
    <col width="12" customWidth="1" min="16" max="16"/>
    <col width="12" customWidth="1" min="17" max="17"/>
    <col width="40" customWidth="1" min="18" max="18"/>
    <col width="12" customWidth="1" min="19" max="19"/>
    <col width="12" customWidth="1" min="20" max="20"/>
    <col width="40" customWidth="1" min="21" max="21"/>
    <col width="14" customWidth="1" min="22" max="22"/>
    <col width="16" customWidth="1" min="23" max="23"/>
    <col width="18" customWidth="1" min="24" max="24"/>
    <col width="14" customWidth="1" min="25" max="25"/>
    <col hidden="1" width="13" customWidth="1" min="26" max="26"/>
    <col hidden="1" width="13" customWidth="1" min="27" max="27"/>
    <col hidden="1" width="13" customWidth="1" min="28" max="28"/>
  </cols>
  <sheetData>
    <row r="1" ht="28" customHeight="1">
      <c r="A1" s="1" t="inlineStr">
        <is>
          <t>OWASP ZAP</t>
        </is>
      </c>
    </row>
    <row r="2" ht="24" customHeight="1">
      <c r="G2" s="3">
        <f>IF(Reviewers!B6="","Unassigned — see Reviewers tab",Reviewers!B6&amp;" - "&amp;Reviewers!C6)</f>
        <v/>
      </c>
      <c r="J2" s="3">
        <f>IF(Reviewers!B7="","Unassigned — see Reviewers tab",Reviewers!B7&amp;" - "&amp;Reviewers!C7)</f>
        <v/>
      </c>
      <c r="M2" s="3">
        <f>IF(Reviewers!B8="","Unassigned — see Reviewers tab",Reviewers!B8&amp;" - "&amp;Reviewers!C8)</f>
        <v/>
      </c>
      <c r="P2" s="3">
        <f>IF(Reviewers!B9="","Unassigned — see Reviewers tab",Reviewers!B9&amp;" - "&amp;Reviewers!C9)</f>
        <v/>
      </c>
      <c r="S2" s="3">
        <f>IF(Reviewers!B10="","Unassigned — see Reviewers tab",Reviewers!B10&amp;" - "&amp;Reviewers!C10)</f>
        <v/>
      </c>
    </row>
    <row r="3" ht="36" customHeight="1">
      <c r="A3" s="3" t="inlineStr">
        <is>
          <t>Criterion</t>
        </is>
      </c>
      <c r="B3" s="3" t="inlineStr">
        <is>
          <t>Category</t>
        </is>
      </c>
      <c r="C3" s="3" t="inlineStr">
        <is>
          <t>Weight</t>
        </is>
      </c>
      <c r="D3" s="3" t="inlineStr">
        <is>
          <t>Automated Score</t>
        </is>
      </c>
      <c r="E3" s="3" t="inlineStr">
        <is>
          <t>Automated Evidence</t>
        </is>
      </c>
      <c r="F3" s="3" t="inlineStr">
        <is>
          <t>Automated Confidence</t>
        </is>
      </c>
      <c r="G3" s="3" t="inlineStr">
        <is>
          <t>Score</t>
        </is>
      </c>
      <c r="H3" s="3" t="inlineStr">
        <is>
          <t>Dispute?</t>
        </is>
      </c>
      <c r="I3" s="3" t="inlineStr">
        <is>
          <t>Rationale</t>
        </is>
      </c>
      <c r="J3" s="3" t="inlineStr">
        <is>
          <t>Score</t>
        </is>
      </c>
      <c r="K3" s="3" t="inlineStr">
        <is>
          <t>Dispute?</t>
        </is>
      </c>
      <c r="L3" s="3" t="inlineStr">
        <is>
          <t>Rationale</t>
        </is>
      </c>
      <c r="M3" s="3" t="inlineStr">
        <is>
          <t>Score</t>
        </is>
      </c>
      <c r="N3" s="3" t="inlineStr">
        <is>
          <t>Dispute?</t>
        </is>
      </c>
      <c r="O3" s="3" t="inlineStr">
        <is>
          <t>Rationale</t>
        </is>
      </c>
      <c r="P3" s="3" t="inlineStr">
        <is>
          <t>Score</t>
        </is>
      </c>
      <c r="Q3" s="3" t="inlineStr">
        <is>
          <t>Dispute?</t>
        </is>
      </c>
      <c r="R3" s="3" t="inlineStr">
        <is>
          <t>Rationale</t>
        </is>
      </c>
      <c r="S3" s="3" t="inlineStr">
        <is>
          <t>Score</t>
        </is>
      </c>
      <c r="T3" s="3" t="inlineStr">
        <is>
          <t>Dispute?</t>
        </is>
      </c>
      <c r="U3" s="3" t="inlineStr">
        <is>
          <t>Rationale</t>
        </is>
      </c>
      <c r="V3" s="3" t="inlineStr">
        <is>
          <t>Resolved Score</t>
        </is>
      </c>
      <c r="W3" s="3" t="inlineStr">
        <is>
          <t>Resolved By</t>
        </is>
      </c>
      <c r="X3" s="3" t="inlineStr">
        <is>
          <t>Resolved Timestamp</t>
        </is>
      </c>
      <c r="Y3" s="3" t="inlineStr">
        <is>
          <t>Automated vs. Resolved Delta</t>
        </is>
      </c>
      <c r="Z3" s="3" t="inlineStr">
        <is>
          <t>_criterion_id</t>
        </is>
      </c>
      <c r="AA3" s="3" t="inlineStr">
        <is>
          <t>_pending</t>
        </is>
      </c>
      <c r="AB3" s="3" t="inlineStr">
        <is>
          <t>_effective_score</t>
        </is>
      </c>
    </row>
    <row r="4">
      <c r="A4" s="11" t="inlineStr">
        <is>
          <t>Detection Accuracy</t>
        </is>
      </c>
      <c r="B4" s="11" t="inlineStr">
        <is>
          <t>Detection Quality</t>
        </is>
      </c>
      <c r="C4" s="6" t="n">
        <v>7</v>
      </c>
      <c r="D4" s="6" t="n">
        <v>3.5</v>
      </c>
      <c r="E4" s="12" t="inlineStr">
        <is>
          <t>Aggregate hands-on: 11/15 (73%) known vulnerabilities detected across Juice Shop (8/10) and VAmPI (3/5), against ground truth rebuilt from real observed output. Solid coverage of misconfiguration/header-level issues; refines the earlier paper score (3.5, unchanged) with real evidence.</t>
        </is>
      </c>
      <c r="F4" s="11" t="inlineStr">
        <is>
          <t>hands-on</t>
        </is>
      </c>
      <c r="G4" s="13" t="n"/>
      <c r="H4" s="14" t="n"/>
      <c r="I4" s="15" t="n"/>
      <c r="J4" s="13" t="n"/>
      <c r="K4" s="14" t="n"/>
      <c r="L4" s="15" t="n"/>
      <c r="M4" s="13" t="n"/>
      <c r="N4" s="14" t="n"/>
      <c r="O4" s="15" t="n"/>
      <c r="P4" s="13" t="n"/>
      <c r="Q4" s="14" t="n"/>
      <c r="R4" s="15" t="n"/>
      <c r="S4" s="13" t="n"/>
      <c r="T4" s="14" t="n"/>
      <c r="U4" s="15" t="n"/>
      <c r="V4" s="13" t="n"/>
      <c r="W4" s="14" t="n"/>
      <c r="X4" s="14" t="n"/>
      <c r="Y4" s="6">
        <f>IF(ISBLANK(V4),"",V4-D4)</f>
        <v/>
      </c>
      <c r="Z4" t="inlineStr">
        <is>
          <t>detection-accuracy</t>
        </is>
      </c>
      <c r="AA4" t="n">
        <v>0</v>
      </c>
      <c r="AB4">
        <f>IF(ISBLANK(V4),D4,V4)</f>
        <v/>
      </c>
    </row>
    <row r="5">
      <c r="A5" s="16" t="inlineStr">
        <is>
          <t>Authentication &amp; Session Handling</t>
        </is>
      </c>
      <c r="B5" s="16" t="inlineStr">
        <is>
          <t>Coverage</t>
        </is>
      </c>
      <c r="C5" s="17" t="n">
        <v>6</v>
      </c>
      <c r="D5" s="17" t="n">
        <v>3.5</v>
      </c>
      <c r="E5" s="18" t="inlineStr">
        <is>
          <r>
            <t xml:space="preserve">Native authentication methods (browser-based, client script, form-based, JSON-based, auto-detect) plus session management (header/cookie-based, auto-detect); Client Script (Zest) authentication automates complex/custom login flows since there's no dedicated native SSO/OAuth/MFA auth type -- solid but requires manual scripting for anything beyond the built-in methods. Source: </t>
          </r>
          <r>
            <rPr>
              <color rgb="000563C1"/>
              <u val="single"/>
            </rPr>
            <t>deepwiki.com/zaproxy/zap-extensions/2.3-authentication-and-session-management</t>
          </r>
        </is>
      </c>
      <c r="F5" s="16" t="inlineStr">
        <is>
          <t>paper</t>
        </is>
      </c>
      <c r="G5" s="19" t="n"/>
      <c r="H5" s="20" t="n"/>
      <c r="I5" s="21" t="n"/>
      <c r="J5" s="19" t="n"/>
      <c r="K5" s="20" t="n"/>
      <c r="L5" s="21" t="n"/>
      <c r="M5" s="19" t="n"/>
      <c r="N5" s="20" t="n"/>
      <c r="O5" s="21" t="n"/>
      <c r="P5" s="19" t="n"/>
      <c r="Q5" s="20" t="n"/>
      <c r="R5" s="21" t="n"/>
      <c r="S5" s="19" t="n"/>
      <c r="T5" s="20" t="n"/>
      <c r="U5" s="21" t="n"/>
      <c r="V5" s="19" t="n"/>
      <c r="W5" s="20" t="n"/>
      <c r="X5" s="20" t="n"/>
      <c r="Y5" s="17">
        <f>IF(ISBLANK(V5),"",V5-D5)</f>
        <v/>
      </c>
      <c r="Z5" s="22" t="inlineStr">
        <is>
          <t>auth-session-handling</t>
        </is>
      </c>
      <c r="AA5" s="22" t="n">
        <v>0</v>
      </c>
      <c r="AB5" s="22">
        <f>IF(ISBLANK(V5),D5,V5)</f>
        <v/>
      </c>
    </row>
    <row r="6">
      <c r="A6" s="11" t="inlineStr">
        <is>
          <t>Safe Production Scanning</t>
        </is>
      </c>
      <c r="B6" s="11" t="inlineStr">
        <is>
          <t>Production Safety &amp; Operability</t>
        </is>
      </c>
      <c r="C6" s="6" t="n">
        <v>6</v>
      </c>
      <c r="D6" s="6" t="n">
        <v>4.5</v>
      </c>
      <c r="E6" s="12" t="inlineStr">
        <is>
          <r>
            <t xml:space="preserve">Passive-only proxying explicitly documented as safe for production; dedicated safe/protected modes; configurable rate limiting (Network &gt; Rate Limit). Source: </t>
          </r>
          <r>
            <rPr>
              <color rgb="000563C1"/>
              <u val="single"/>
            </rPr>
            <t>zaproxy.org/faq/is-there-any-danger-when-scanning-with-zap</t>
          </r>
        </is>
      </c>
      <c r="F6" s="11" t="inlineStr">
        <is>
          <t>paper</t>
        </is>
      </c>
      <c r="G6" s="13" t="n"/>
      <c r="H6" s="14" t="n"/>
      <c r="I6" s="15" t="n"/>
      <c r="J6" s="13" t="n"/>
      <c r="K6" s="14" t="n"/>
      <c r="L6" s="15" t="n"/>
      <c r="M6" s="13" t="n"/>
      <c r="N6" s="14" t="n"/>
      <c r="O6" s="15" t="n"/>
      <c r="P6" s="13" t="n"/>
      <c r="Q6" s="14" t="n"/>
      <c r="R6" s="15" t="n"/>
      <c r="S6" s="13" t="n"/>
      <c r="T6" s="14" t="n"/>
      <c r="U6" s="15" t="n"/>
      <c r="V6" s="13" t="n"/>
      <c r="W6" s="14" t="n"/>
      <c r="X6" s="14" t="n"/>
      <c r="Y6" s="6">
        <f>IF(ISBLANK(V6),"",V6-D6)</f>
        <v/>
      </c>
      <c r="Z6" t="inlineStr">
        <is>
          <t>safe-prod-scanning</t>
        </is>
      </c>
      <c r="AA6" t="n">
        <v>0</v>
      </c>
      <c r="AB6">
        <f>IF(ISBLANK(V6),D6,V6)</f>
        <v/>
      </c>
    </row>
    <row r="7">
      <c r="A7" s="16" t="inlineStr">
        <is>
          <t>API/SPA Coverage</t>
        </is>
      </c>
      <c r="B7" s="16" t="inlineStr">
        <is>
          <t>Coverage</t>
        </is>
      </c>
      <c r="C7" s="17" t="n">
        <v>5</v>
      </c>
      <c r="D7" s="17" t="n">
        <v>4</v>
      </c>
      <c r="E7" s="18" t="inlineStr">
        <is>
          <r>
            <t xml:space="preserve">REST/GraphQL/SOAP via Automation Framework + dedicated GraphQL add-on (introspection + query fuzzing), AJAX Spider for headless JS-SPA crawling. GraphQL deep testing sometimes needs custom scripts, not fully automatic. Source: </t>
          </r>
          <r>
            <rPr>
              <color rgb="000563C1"/>
              <u val="single"/>
            </rPr>
            <t>zaproxy.org/docs/desktop/addons/graphql-support</t>
          </r>
        </is>
      </c>
      <c r="F7" s="16" t="inlineStr">
        <is>
          <t>paper</t>
        </is>
      </c>
      <c r="G7" s="19" t="n"/>
      <c r="H7" s="20" t="n"/>
      <c r="I7" s="21" t="n"/>
      <c r="J7" s="19" t="n"/>
      <c r="K7" s="20" t="n"/>
      <c r="L7" s="21" t="n"/>
      <c r="M7" s="19" t="n"/>
      <c r="N7" s="20" t="n"/>
      <c r="O7" s="21" t="n"/>
      <c r="P7" s="19" t="n"/>
      <c r="Q7" s="20" t="n"/>
      <c r="R7" s="21" t="n"/>
      <c r="S7" s="19" t="n"/>
      <c r="T7" s="20" t="n"/>
      <c r="U7" s="21" t="n"/>
      <c r="V7" s="19" t="n"/>
      <c r="W7" s="20" t="n"/>
      <c r="X7" s="20" t="n"/>
      <c r="Y7" s="17">
        <f>IF(ISBLANK(V7),"",V7-D7)</f>
        <v/>
      </c>
      <c r="Z7" s="22" t="inlineStr">
        <is>
          <t>api-spa-coverage</t>
        </is>
      </c>
      <c r="AA7" s="22" t="n">
        <v>0</v>
      </c>
      <c r="AB7" s="22">
        <f>IF(ISBLANK(V7),D7,V7)</f>
        <v/>
      </c>
    </row>
    <row r="8">
      <c r="A8" s="11" t="inlineStr">
        <is>
          <t>CI/CD-Native Fit</t>
        </is>
      </c>
      <c r="B8" s="11" t="inlineStr">
        <is>
          <t>Production Safety &amp; Operability</t>
        </is>
      </c>
      <c r="C8" s="6" t="n">
        <v>5</v>
      </c>
      <c r="D8" s="6" t="n">
        <v>5</v>
      </c>
      <c r="E8" s="12" t="inlineStr">
        <is>
          <r>
            <t xml:space="preserve">First-class docker automation via the </t>
          </r>
          <r>
            <rPr>
              <color rgb="000563C1"/>
              <u val="single"/>
            </rPr>
            <t>zap-full-scan.py</t>
          </r>
          <r>
            <t xml:space="preserve"> script (ghcr.io/zaproxy/zaproxy:stable image) plus the newer YAML-based Automation Framework covering contexts, authentication, spider, active scan, and report generation as discrete jobs -- this project's own CI pipeline uses it directly. Source: zaproxy.org/docs/docker</t>
          </r>
        </is>
      </c>
      <c r="F8" s="11" t="inlineStr">
        <is>
          <t>paper</t>
        </is>
      </c>
      <c r="G8" s="13" t="n"/>
      <c r="H8" s="14" t="n"/>
      <c r="I8" s="15" t="n"/>
      <c r="J8" s="13" t="n"/>
      <c r="K8" s="14" t="n"/>
      <c r="L8" s="15" t="n"/>
      <c r="M8" s="13" t="n"/>
      <c r="N8" s="14" t="n"/>
      <c r="O8" s="15" t="n"/>
      <c r="P8" s="13" t="n"/>
      <c r="Q8" s="14" t="n"/>
      <c r="R8" s="15" t="n"/>
      <c r="S8" s="13" t="n"/>
      <c r="T8" s="14" t="n"/>
      <c r="U8" s="15" t="n"/>
      <c r="V8" s="13" t="n"/>
      <c r="W8" s="14" t="n"/>
      <c r="X8" s="14" t="n"/>
      <c r="Y8" s="6">
        <f>IF(ISBLANK(V8),"",V8-D8)</f>
        <v/>
      </c>
      <c r="Z8" t="inlineStr">
        <is>
          <t>cicd-native-fit</t>
        </is>
      </c>
      <c r="AA8" t="n">
        <v>0</v>
      </c>
      <c r="AB8">
        <f>IF(ISBLANK(V8),D8,V8)</f>
        <v/>
      </c>
    </row>
    <row r="9">
      <c r="A9" s="16" t="inlineStr">
        <is>
          <t>Deployment Model &amp; Data Residency</t>
        </is>
      </c>
      <c r="B9" s="16" t="inlineStr">
        <is>
          <t>Deployment &amp; Data Governance</t>
        </is>
      </c>
      <c r="C9" s="17" t="n">
        <v>5</v>
      </c>
      <c r="D9" s="17" t="n">
        <v>5</v>
      </c>
      <c r="E9" s="18" t="inlineStr">
        <is>
          <r>
            <t xml:space="preserve">Runs entirely self-hosted -- desktop app, the official docker image, or CLI -- with no SaaS/cloud-backend component at all, so all scan data and traffic stay wherever it's run, inherently on-prem/air-gap-capable by nature rather than by a configured deployment option. Source: </t>
          </r>
          <r>
            <rPr>
              <color rgb="000563C1"/>
              <u val="single"/>
            </rPr>
            <t>zaproxy.org/docs/docker</t>
          </r>
        </is>
      </c>
      <c r="F9" s="16" t="inlineStr">
        <is>
          <t>paper</t>
        </is>
      </c>
      <c r="G9" s="19" t="n"/>
      <c r="H9" s="20" t="n"/>
      <c r="I9" s="21" t="n"/>
      <c r="J9" s="19" t="n"/>
      <c r="K9" s="20" t="n"/>
      <c r="L9" s="21" t="n"/>
      <c r="M9" s="19" t="n"/>
      <c r="N9" s="20" t="n"/>
      <c r="O9" s="21" t="n"/>
      <c r="P9" s="19" t="n"/>
      <c r="Q9" s="20" t="n"/>
      <c r="R9" s="21" t="n"/>
      <c r="S9" s="19" t="n"/>
      <c r="T9" s="20" t="n"/>
      <c r="U9" s="21" t="n"/>
      <c r="V9" s="19" t="n"/>
      <c r="W9" s="20" t="n"/>
      <c r="X9" s="20" t="n"/>
      <c r="Y9" s="17">
        <f>IF(ISBLANK(V9),"",V9-D9)</f>
        <v/>
      </c>
      <c r="Z9" s="22" t="inlineStr">
        <is>
          <t>deployment-model-data-residency</t>
        </is>
      </c>
      <c r="AA9" s="22" t="n">
        <v>0</v>
      </c>
      <c r="AB9" s="22">
        <f>IF(ISBLANK(V9),D9,V9)</f>
        <v/>
      </c>
    </row>
    <row r="10">
      <c r="A10" s="11" t="inlineStr">
        <is>
          <t>Legacy Application &amp; Protocol Support</t>
        </is>
      </c>
      <c r="B10" s="11" t="inlineStr">
        <is>
          <t>Coverage</t>
        </is>
      </c>
      <c r="C10" s="6" t="n">
        <v>5</v>
      </c>
      <c r="D10" s="6" t="n">
        <v>4</v>
      </c>
      <c r="E10" s="12" t="inlineStr">
        <is>
          <r>
            <t xml:space="preserve">Founded in 2010 as a fork of Paros Proxy, ZAP was originally a general-purpose HTTP(S) intercepting proxy/scanner predating SPA-era tooling, making it inherently protocol/framework-agnostic for classic server-rendered legacy applications; SPA-specific crawling (AJAX Spider) was added later as an add-on. Source: </t>
          </r>
          <r>
            <rPr>
              <color rgb="000563C1"/>
              <u val="single"/>
            </rPr>
            <t>en.wikipedia.org/wiki/ZAP_(software</t>
          </r>
          <r>
            <t>)</t>
          </r>
        </is>
      </c>
      <c r="F10" s="11" t="inlineStr">
        <is>
          <t>paper</t>
        </is>
      </c>
      <c r="G10" s="13" t="n"/>
      <c r="H10" s="14" t="n"/>
      <c r="I10" s="15" t="n"/>
      <c r="J10" s="13" t="n"/>
      <c r="K10" s="14" t="n"/>
      <c r="L10" s="15" t="n"/>
      <c r="M10" s="13" t="n"/>
      <c r="N10" s="14" t="n"/>
      <c r="O10" s="15" t="n"/>
      <c r="P10" s="13" t="n"/>
      <c r="Q10" s="14" t="n"/>
      <c r="R10" s="15" t="n"/>
      <c r="S10" s="13" t="n"/>
      <c r="T10" s="14" t="n"/>
      <c r="U10" s="15" t="n"/>
      <c r="V10" s="13" t="n"/>
      <c r="W10" s="14" t="n"/>
      <c r="X10" s="14" t="n"/>
      <c r="Y10" s="6">
        <f>IF(ISBLANK(V10),"",V10-D10)</f>
        <v/>
      </c>
      <c r="Z10" t="inlineStr">
        <is>
          <t>legacy-app-protocol-support</t>
        </is>
      </c>
      <c r="AA10" t="n">
        <v>0</v>
      </c>
      <c r="AB10">
        <f>IF(ISBLANK(V10),D10,V10)</f>
        <v/>
      </c>
    </row>
    <row r="11">
      <c r="A11" s="16" t="inlineStr">
        <is>
          <t>Business Logic &amp; Workflow Vulnerability Detection</t>
        </is>
      </c>
      <c r="B11" s="16" t="inlineStr">
        <is>
          <t>Coverage</t>
        </is>
      </c>
      <c r="C11" s="17" t="n">
        <v>4</v>
      </c>
      <c r="D11" s="17" t="n">
        <v>3.5</v>
      </c>
      <c r="E11" s="18" t="inlineStr">
        <is>
          <r>
            <t xml:space="preserve">ZAP's 'Access Control Testing' add-on defines per-role Access Rules within a Context, then automatically attacks every discovered URL as each configured user to flag authorization violations -- genuine authorization-state tracking across roles. Does not do true multi-step/sequence-dependent workflow chains; ZAP is independently documented to struggle with business logic flaws generally. Source: </t>
          </r>
          <r>
            <rPr>
              <color rgb="000563C1"/>
              <u val="single"/>
            </rPr>
            <t>zaproxy.org/docs/desktop/addons/access-control-testing</t>
          </r>
        </is>
      </c>
      <c r="F11" s="16" t="inlineStr">
        <is>
          <t>paper</t>
        </is>
      </c>
      <c r="G11" s="19" t="n"/>
      <c r="H11" s="20" t="n"/>
      <c r="I11" s="21" t="n"/>
      <c r="J11" s="19" t="n"/>
      <c r="K11" s="20" t="n"/>
      <c r="L11" s="21" t="n"/>
      <c r="M11" s="19" t="n"/>
      <c r="N11" s="20" t="n"/>
      <c r="O11" s="21" t="n"/>
      <c r="P11" s="19" t="n"/>
      <c r="Q11" s="20" t="n"/>
      <c r="R11" s="21" t="n"/>
      <c r="S11" s="19" t="n"/>
      <c r="T11" s="20" t="n"/>
      <c r="U11" s="21" t="n"/>
      <c r="V11" s="19" t="n"/>
      <c r="W11" s="20" t="n"/>
      <c r="X11" s="20" t="n"/>
      <c r="Y11" s="17">
        <f>IF(ISBLANK(V11),"",V11-D11)</f>
        <v/>
      </c>
      <c r="Z11" s="22" t="inlineStr">
        <is>
          <t>business-logic-workflow-detection</t>
        </is>
      </c>
      <c r="AA11" s="22" t="n">
        <v>0</v>
      </c>
      <c r="AB11" s="22">
        <f>IF(ISBLANK(V11),D11,V11)</f>
        <v/>
      </c>
    </row>
    <row r="12">
      <c r="A12" s="11" t="inlineStr">
        <is>
          <t>Vulnerability Status Management</t>
        </is>
      </c>
      <c r="B12" s="11" t="inlineStr">
        <is>
          <t>Reporting &amp; Extensibility</t>
        </is>
      </c>
      <c r="C12" s="6" t="n">
        <v>4</v>
      </c>
      <c r="D12" s="6" t="n">
        <v>1</v>
      </c>
      <c r="E12" s="12" t="inlineStr">
        <is>
          <r>
            <t xml:space="preserve">No exception/risk-acceptance workflow or audit trail for finding lifecycle -- a scan-and-report tool, not a vulnerability management platform. Source: </t>
          </r>
          <r>
            <rPr>
              <color rgb="000563C1"/>
              <u val="single"/>
            </rPr>
            <t>zaproxy.org/docs</t>
          </r>
          <r>
            <t xml:space="preserve"> (ZAP itself has no lifecycle workflow beyond a flat alert list; the only related evidence found, Checkmarx One's triage states/audit trail, is that separate paid platform's feature)</t>
          </r>
        </is>
      </c>
      <c r="F12" s="11" t="inlineStr">
        <is>
          <t>paper</t>
        </is>
      </c>
      <c r="G12" s="13" t="n"/>
      <c r="H12" s="14" t="n"/>
      <c r="I12" s="15" t="n"/>
      <c r="J12" s="13" t="n"/>
      <c r="K12" s="14" t="n"/>
      <c r="L12" s="15" t="n"/>
      <c r="M12" s="13" t="n"/>
      <c r="N12" s="14" t="n"/>
      <c r="O12" s="15" t="n"/>
      <c r="P12" s="13" t="n"/>
      <c r="Q12" s="14" t="n"/>
      <c r="R12" s="15" t="n"/>
      <c r="S12" s="13" t="n"/>
      <c r="T12" s="14" t="n"/>
      <c r="U12" s="15" t="n"/>
      <c r="V12" s="13" t="n"/>
      <c r="W12" s="14" t="n"/>
      <c r="X12" s="14" t="n"/>
      <c r="Y12" s="6">
        <f>IF(ISBLANK(V12),"",V12-D12)</f>
        <v/>
      </c>
      <c r="Z12" t="inlineStr">
        <is>
          <t>vulnerability-status-management</t>
        </is>
      </c>
      <c r="AA12" t="n">
        <v>0</v>
      </c>
      <c r="AB12">
        <f>IF(ISBLANK(V12),D12,V12)</f>
        <v/>
      </c>
    </row>
    <row r="13">
      <c r="A13" s="16" t="inlineStr">
        <is>
          <t>Compliance &amp; Standards Mapping</t>
        </is>
      </c>
      <c r="B13" s="16" t="inlineStr">
        <is>
          <t>Detection Quality</t>
        </is>
      </c>
      <c r="C13" s="17" t="n">
        <v>4</v>
      </c>
      <c r="D13" s="17" t="n">
        <v>3.5</v>
      </c>
      <c r="E13" s="18" t="inlineStr">
        <is>
          <r>
            <t xml:space="preserve">Real cweid/wascid mapping per plugin and OWASP Top 10 tagging used for compliance reporting (SOC2/PCI-DSS), but mapping coverage is incomplete across all plugins per ZAP's own developers; no financial-services-specific (GLBA/SOX/FFIEC/NYDFS) tagging out of the box. Source: </t>
          </r>
          <r>
            <rPr>
              <color rgb="000563C1"/>
              <u val="single"/>
            </rPr>
            <t>zaproxy.org/docs/alerts</t>
          </r>
          <r>
            <t>, ZAP developer mailing list discussion on OWASP Top 10 mapping completeness.</t>
          </r>
        </is>
      </c>
      <c r="F13" s="16" t="inlineStr">
        <is>
          <t>paper</t>
        </is>
      </c>
      <c r="G13" s="19" t="n"/>
      <c r="H13" s="20" t="n"/>
      <c r="I13" s="21" t="n"/>
      <c r="J13" s="19" t="n"/>
      <c r="K13" s="20" t="n"/>
      <c r="L13" s="21" t="n"/>
      <c r="M13" s="19" t="n"/>
      <c r="N13" s="20" t="n"/>
      <c r="O13" s="21" t="n"/>
      <c r="P13" s="19" t="n"/>
      <c r="Q13" s="20" t="n"/>
      <c r="R13" s="21" t="n"/>
      <c r="S13" s="19" t="n"/>
      <c r="T13" s="20" t="n"/>
      <c r="U13" s="21" t="n"/>
      <c r="V13" s="19" t="n"/>
      <c r="W13" s="20" t="n"/>
      <c r="X13" s="20" t="n"/>
      <c r="Y13" s="17">
        <f>IF(ISBLANK(V13),"",V13-D13)</f>
        <v/>
      </c>
      <c r="Z13" s="22" t="inlineStr">
        <is>
          <t>compliance-standards-mapping</t>
        </is>
      </c>
      <c r="AA13" s="22" t="n">
        <v>0</v>
      </c>
      <c r="AB13" s="22">
        <f>IF(ISBLANK(V13),D13,V13)</f>
        <v/>
      </c>
    </row>
    <row r="14">
      <c r="A14" s="11" t="inlineStr">
        <is>
          <t>Noise / False-Positive Rate</t>
        </is>
      </c>
      <c r="B14" s="11" t="inlineStr">
        <is>
          <t>Detection Quality</t>
        </is>
      </c>
      <c r="C14" s="6" t="n">
        <v>4</v>
      </c>
      <c r="D14" s="6" t="n">
        <v>3.5</v>
      </c>
      <c r="E14" s="12" t="inlineStr">
        <is>
          <t>Aggregate hands-on: 5 false positives against 11 real detections across both targets -- a manageable ratio, refining the earlier paper score (3, now 3.5) with real evidence.</t>
        </is>
      </c>
      <c r="F14" s="11" t="inlineStr">
        <is>
          <t>hands-on</t>
        </is>
      </c>
      <c r="G14" s="13" t="n"/>
      <c r="H14" s="14" t="n"/>
      <c r="I14" s="15" t="n"/>
      <c r="J14" s="13" t="n"/>
      <c r="K14" s="14" t="n"/>
      <c r="L14" s="15" t="n"/>
      <c r="M14" s="13" t="n"/>
      <c r="N14" s="14" t="n"/>
      <c r="O14" s="15" t="n"/>
      <c r="P14" s="13" t="n"/>
      <c r="Q14" s="14" t="n"/>
      <c r="R14" s="15" t="n"/>
      <c r="S14" s="13" t="n"/>
      <c r="T14" s="14" t="n"/>
      <c r="U14" s="15" t="n"/>
      <c r="V14" s="13" t="n"/>
      <c r="W14" s="14" t="n"/>
      <c r="X14" s="14" t="n"/>
      <c r="Y14" s="6">
        <f>IF(ISBLANK(V14),"",V14-D14)</f>
        <v/>
      </c>
      <c r="Z14" t="inlineStr">
        <is>
          <t>false-positive-rate</t>
        </is>
      </c>
      <c r="AA14" t="n">
        <v>0</v>
      </c>
      <c r="AB14">
        <f>IF(ISBLANK(V14),D14,V14)</f>
        <v/>
      </c>
    </row>
    <row r="15">
      <c r="A15" s="16" t="inlineStr">
        <is>
          <t>Shadow/Zombie API Discovery</t>
        </is>
      </c>
      <c r="B15" s="16" t="inlineStr">
        <is>
          <t>Coverage</t>
        </is>
      </c>
      <c r="C15" s="17" t="n">
        <v>4</v>
      </c>
      <c r="D15" s="17" t="n">
        <v>3</v>
      </c>
      <c r="E15" s="18" t="inlineStr">
        <is>
          <r>
            <t xml:space="preserve">AJAX Spider (built on the Crawljax engine) executes JavaScript to discover new paths/API routes in SPA/AJAX applications; no dedicated deprecated/versioned-endpoint detection engine confirmed beyond that JS-execution-based path discovery. Source: </t>
          </r>
          <r>
            <rPr>
              <color rgb="000563C1"/>
              <u val="single"/>
            </rPr>
            <t>zaproxy.org/docs/desktop/addons/ajax-spider</t>
          </r>
        </is>
      </c>
      <c r="F15" s="16" t="inlineStr">
        <is>
          <t>paper</t>
        </is>
      </c>
      <c r="G15" s="19" t="n"/>
      <c r="H15" s="20" t="n"/>
      <c r="I15" s="21" t="n"/>
      <c r="J15" s="19" t="n"/>
      <c r="K15" s="20" t="n"/>
      <c r="L15" s="21" t="n"/>
      <c r="M15" s="19" t="n"/>
      <c r="N15" s="20" t="n"/>
      <c r="O15" s="21" t="n"/>
      <c r="P15" s="19" t="n"/>
      <c r="Q15" s="20" t="n"/>
      <c r="R15" s="21" t="n"/>
      <c r="S15" s="19" t="n"/>
      <c r="T15" s="20" t="n"/>
      <c r="U15" s="21" t="n"/>
      <c r="V15" s="19" t="n"/>
      <c r="W15" s="20" t="n"/>
      <c r="X15" s="20" t="n"/>
      <c r="Y15" s="17">
        <f>IF(ISBLANK(V15),"",V15-D15)</f>
        <v/>
      </c>
      <c r="Z15" s="22" t="inlineStr">
        <is>
          <t>shadow-api-discovery</t>
        </is>
      </c>
      <c r="AA15" s="22" t="n">
        <v>0</v>
      </c>
      <c r="AB15" s="22">
        <f>IF(ISBLANK(V15),D15,V15)</f>
        <v/>
      </c>
    </row>
    <row r="16">
      <c r="A16" s="11" t="inlineStr">
        <is>
          <t>Triage &amp; Remediation Guidance</t>
        </is>
      </c>
      <c r="B16" s="11" t="inlineStr">
        <is>
          <t>Developer Experience</t>
        </is>
      </c>
      <c r="C16" s="6" t="n">
        <v>4</v>
      </c>
      <c r="D16" s="6" t="n">
        <v>3</v>
      </c>
      <c r="E16" s="12" t="inlineStr">
        <is>
          <r>
            <t xml:space="preserve">Every alert includes a Description, a Solution, and References -- static text that is identical for every instance of the same alert type, since ZAP has no access to source code to tailor guidance to the specific instance/tech stack. Source: </t>
          </r>
          <r>
            <rPr>
              <color rgb="000563C1"/>
              <u val="single"/>
            </rPr>
            <t>zaproxy.org/docs/desktop/start/features/alerts</t>
          </r>
          <r>
            <t>, zaproxy.org/docs/alerts</t>
          </r>
        </is>
      </c>
      <c r="F16" s="11" t="inlineStr">
        <is>
          <t>paper</t>
        </is>
      </c>
      <c r="G16" s="13" t="n"/>
      <c r="H16" s="14" t="n"/>
      <c r="I16" s="15" t="n"/>
      <c r="J16" s="13" t="n"/>
      <c r="K16" s="14" t="n"/>
      <c r="L16" s="15" t="n"/>
      <c r="M16" s="13" t="n"/>
      <c r="N16" s="14" t="n"/>
      <c r="O16" s="15" t="n"/>
      <c r="P16" s="13" t="n"/>
      <c r="Q16" s="14" t="n"/>
      <c r="R16" s="15" t="n"/>
      <c r="S16" s="13" t="n"/>
      <c r="T16" s="14" t="n"/>
      <c r="U16" s="15" t="n"/>
      <c r="V16" s="13" t="n"/>
      <c r="W16" s="14" t="n"/>
      <c r="X16" s="14" t="n"/>
      <c r="Y16" s="6">
        <f>IF(ISBLANK(V16),"",V16-D16)</f>
        <v/>
      </c>
      <c r="Z16" t="inlineStr">
        <is>
          <t>triage-remediation-guidance</t>
        </is>
      </c>
      <c r="AA16" t="n">
        <v>0</v>
      </c>
      <c r="AB16">
        <f>IF(ISBLANK(V16),D16,V16)</f>
        <v/>
      </c>
    </row>
    <row r="17">
      <c r="A17" s="16" t="inlineStr">
        <is>
          <t>Multi-Tenancy &amp; Access Control</t>
        </is>
      </c>
      <c r="B17" s="16" t="inlineStr">
        <is>
          <t>Deployment &amp; Data Governance</t>
        </is>
      </c>
      <c r="C17" s="17" t="n">
        <v>3</v>
      </c>
      <c r="D17" s="17" t="n">
        <v>1</v>
      </c>
      <c r="E17" s="18" t="inlineStr">
        <is>
          <r>
            <t xml:space="preserve">No built-in RBAC or audit logging; single-user tool by design, relies on OS/CI-level access control. Source: </t>
          </r>
          <r>
            <rPr>
              <color rgb="000563C1"/>
              <u val="single"/>
            </rPr>
            <t>zaproxy.org/docs</t>
          </r>
          <r>
            <t xml:space="preserve"> (ZAP itself, run locally/via CLI, has no user/role concept at all; the only related evidence found, Checkmarx One's 5 predefined RBAC roles, is that separate paid platform's feature)</t>
          </r>
        </is>
      </c>
      <c r="F17" s="16" t="inlineStr">
        <is>
          <t>paper</t>
        </is>
      </c>
      <c r="G17" s="19" t="n"/>
      <c r="H17" s="20" t="n"/>
      <c r="I17" s="21" t="n"/>
      <c r="J17" s="19" t="n"/>
      <c r="K17" s="20" t="n"/>
      <c r="L17" s="21" t="n"/>
      <c r="M17" s="19" t="n"/>
      <c r="N17" s="20" t="n"/>
      <c r="O17" s="21" t="n"/>
      <c r="P17" s="19" t="n"/>
      <c r="Q17" s="20" t="n"/>
      <c r="R17" s="21" t="n"/>
      <c r="S17" s="19" t="n"/>
      <c r="T17" s="20" t="n"/>
      <c r="U17" s="21" t="n"/>
      <c r="V17" s="19" t="n"/>
      <c r="W17" s="20" t="n"/>
      <c r="X17" s="20" t="n"/>
      <c r="Y17" s="17">
        <f>IF(ISBLANK(V17),"",V17-D17)</f>
        <v/>
      </c>
      <c r="Z17" s="22" t="inlineStr">
        <is>
          <t>multi-tenancy-access-control</t>
        </is>
      </c>
      <c r="AA17" s="22" t="n">
        <v>0</v>
      </c>
      <c r="AB17" s="22">
        <f>IF(ISBLANK(V17),D17,V17)</f>
        <v/>
      </c>
    </row>
    <row r="18">
      <c r="A18" s="11" t="inlineStr">
        <is>
          <t>Automated Triage / FP-Reduction Engine</t>
        </is>
      </c>
      <c r="B18" s="11" t="inlineStr">
        <is>
          <t>Detection Quality</t>
        </is>
      </c>
      <c r="C18" s="6" t="n">
        <v>3</v>
      </c>
      <c r="D18" s="6" t="n">
        <v>3</v>
      </c>
      <c r="E18" s="12" t="inlineStr">
        <is>
          <r>
            <t xml:space="preserve">Alert Filters can change alerts matching specific criteria to a 'False Positive' confidence level, and this persists across future scans -- static, rule-based suppression configured by the user, not adaptive/ML learning or automated proof-of-concept-based re-confirmation. Source: </t>
          </r>
          <r>
            <rPr>
              <color rgb="000563C1"/>
              <u val="single"/>
            </rPr>
            <t>zaproxy.org/docs/desktop/addons/alert-filters</t>
          </r>
        </is>
      </c>
      <c r="F18" s="11" t="inlineStr">
        <is>
          <t>paper</t>
        </is>
      </c>
      <c r="G18" s="13" t="n"/>
      <c r="H18" s="14" t="n"/>
      <c r="I18" s="15" t="n"/>
      <c r="J18" s="13" t="n"/>
      <c r="K18" s="14" t="n"/>
      <c r="L18" s="15" t="n"/>
      <c r="M18" s="13" t="n"/>
      <c r="N18" s="14" t="n"/>
      <c r="O18" s="15" t="n"/>
      <c r="P18" s="13" t="n"/>
      <c r="Q18" s="14" t="n"/>
      <c r="R18" s="15" t="n"/>
      <c r="S18" s="13" t="n"/>
      <c r="T18" s="14" t="n"/>
      <c r="U18" s="15" t="n"/>
      <c r="V18" s="13" t="n"/>
      <c r="W18" s="14" t="n"/>
      <c r="X18" s="14" t="n"/>
      <c r="Y18" s="6">
        <f>IF(ISBLANK(V18),"",V18-D18)</f>
        <v/>
      </c>
      <c r="Z18" t="inlineStr">
        <is>
          <t>automated-triage-fp-reduction</t>
        </is>
      </c>
      <c r="AA18" t="n">
        <v>0</v>
      </c>
      <c r="AB18">
        <f>IF(ISBLANK(V18),D18,V18)</f>
        <v/>
      </c>
    </row>
    <row r="19">
      <c r="A19" s="16" t="inlineStr">
        <is>
          <t>Predictability of Licensing Model</t>
        </is>
      </c>
      <c r="B19" s="16" t="inlineStr">
        <is>
          <t>Deployment &amp; Data Governance</t>
        </is>
      </c>
      <c r="C19" s="17" t="n">
        <v>3</v>
      </c>
      <c r="D19" s="17" t="n">
        <v>5</v>
      </c>
      <c r="E19" s="18" t="inlineStr">
        <is>
          <r>
            <t xml:space="preserve">Fully open-source under the Apache License 2.0, confirmed by ZAP's own legal notice; zero cost regardless of usage scale -- the most predictable possible licensing model. Source: </t>
          </r>
          <r>
            <rPr>
              <color rgb="000563C1"/>
              <u val="single"/>
            </rPr>
            <t>github.com/zaproxy/zaproxy/blob/main/LEGALNOTICE.md</t>
          </r>
        </is>
      </c>
      <c r="F19" s="16" t="inlineStr">
        <is>
          <t>paper</t>
        </is>
      </c>
      <c r="G19" s="19" t="n"/>
      <c r="H19" s="20" t="n"/>
      <c r="I19" s="21" t="n"/>
      <c r="J19" s="19" t="n"/>
      <c r="K19" s="20" t="n"/>
      <c r="L19" s="21" t="n"/>
      <c r="M19" s="19" t="n"/>
      <c r="N19" s="20" t="n"/>
      <c r="O19" s="21" t="n"/>
      <c r="P19" s="19" t="n"/>
      <c r="Q19" s="20" t="n"/>
      <c r="R19" s="21" t="n"/>
      <c r="S19" s="19" t="n"/>
      <c r="T19" s="20" t="n"/>
      <c r="U19" s="21" t="n"/>
      <c r="V19" s="19" t="n"/>
      <c r="W19" s="20" t="n"/>
      <c r="X19" s="20" t="n"/>
      <c r="Y19" s="17">
        <f>IF(ISBLANK(V19),"",V19-D19)</f>
        <v/>
      </c>
      <c r="Z19" s="22" t="inlineStr">
        <is>
          <t>licensing-model-predictability</t>
        </is>
      </c>
      <c r="AA19" s="22" t="n">
        <v>0</v>
      </c>
      <c r="AB19" s="22">
        <f>IF(ISBLANK(V19),D19,V19)</f>
        <v/>
      </c>
    </row>
    <row r="20">
      <c r="A20" s="11" t="inlineStr">
        <is>
          <t>Setup &amp; Onboarding Friction</t>
        </is>
      </c>
      <c r="B20" s="11" t="inlineStr">
        <is>
          <t>Developer Experience</t>
        </is>
      </c>
      <c r="C20" s="6" t="n">
        <v>3</v>
      </c>
      <c r="D20" s="6" t="n">
        <v>4.5</v>
      </c>
      <c r="E20" s="12" t="inlineStr">
        <is>
          <r>
            <t>Free, official docker images (</t>
          </r>
          <r>
            <rPr>
              <color rgb="000563C1"/>
              <u val="single"/>
            </rPr>
            <t>ghcr.io/zaproxy/zaproxy</t>
          </r>
          <r>
            <t>) enable a first useful scan in minutes with sensible defaults -- independently confirmed by this project's own live-verification run during the initial dogfood session. Source: zaproxy.org/docs/docker</t>
          </r>
        </is>
      </c>
      <c r="F20" s="11" t="inlineStr">
        <is>
          <t>paper</t>
        </is>
      </c>
      <c r="G20" s="13" t="n"/>
      <c r="H20" s="14" t="n"/>
      <c r="I20" s="15" t="n"/>
      <c r="J20" s="13" t="n"/>
      <c r="K20" s="14" t="n"/>
      <c r="L20" s="15" t="n"/>
      <c r="M20" s="13" t="n"/>
      <c r="N20" s="14" t="n"/>
      <c r="O20" s="15" t="n"/>
      <c r="P20" s="13" t="n"/>
      <c r="Q20" s="14" t="n"/>
      <c r="R20" s="15" t="n"/>
      <c r="S20" s="13" t="n"/>
      <c r="T20" s="14" t="n"/>
      <c r="U20" s="15" t="n"/>
      <c r="V20" s="13" t="n"/>
      <c r="W20" s="14" t="n"/>
      <c r="X20" s="14" t="n"/>
      <c r="Y20" s="6">
        <f>IF(ISBLANK(V20),"",V20-D20)</f>
        <v/>
      </c>
      <c r="Z20" t="inlineStr">
        <is>
          <t>setup-onboarding-friction</t>
        </is>
      </c>
      <c r="AA20" t="n">
        <v>0</v>
      </c>
      <c r="AB20">
        <f>IF(ISBLANK(V20),D20,V20)</f>
        <v/>
      </c>
    </row>
    <row r="21">
      <c r="A21" s="16" t="inlineStr">
        <is>
          <t>Traditional Stateful Web Crawling</t>
        </is>
      </c>
      <c r="B21" s="16" t="inlineStr">
        <is>
          <t>Coverage</t>
        </is>
      </c>
      <c r="C21" s="17" t="n">
        <v>3</v>
      </c>
      <c r="D21" s="17" t="n">
        <v>4.5</v>
      </c>
      <c r="E21" s="18" t="inlineStr">
        <is>
          <r>
            <t xml:space="preserve">ZAP's traditional Spider predates the AJAX Spider add-on (added later specifically for SPAs), reflecting its original design as a classic multi-page, session-stateful crawler from its 2010 founding as a Paros Proxy fork. Source: </t>
          </r>
          <r>
            <rPr>
              <color rgb="000563C1"/>
              <u val="single"/>
            </rPr>
            <t>en.wikipedia.org/wiki/ZAP_(software</t>
          </r>
          <r>
            <t>)</t>
          </r>
        </is>
      </c>
      <c r="F21" s="16" t="inlineStr">
        <is>
          <t>paper</t>
        </is>
      </c>
      <c r="G21" s="19" t="n"/>
      <c r="H21" s="20" t="n"/>
      <c r="I21" s="21" t="n"/>
      <c r="J21" s="19" t="n"/>
      <c r="K21" s="20" t="n"/>
      <c r="L21" s="21" t="n"/>
      <c r="M21" s="19" t="n"/>
      <c r="N21" s="20" t="n"/>
      <c r="O21" s="21" t="n"/>
      <c r="P21" s="19" t="n"/>
      <c r="Q21" s="20" t="n"/>
      <c r="R21" s="21" t="n"/>
      <c r="S21" s="19" t="n"/>
      <c r="T21" s="20" t="n"/>
      <c r="U21" s="21" t="n"/>
      <c r="V21" s="19" t="n"/>
      <c r="W21" s="20" t="n"/>
      <c r="X21" s="20" t="n"/>
      <c r="Y21" s="17">
        <f>IF(ISBLANK(V21),"",V21-D21)</f>
        <v/>
      </c>
      <c r="Z21" s="22" t="inlineStr">
        <is>
          <t>stateful-web-crawling</t>
        </is>
      </c>
      <c r="AA21" s="22" t="n">
        <v>0</v>
      </c>
      <c r="AB21" s="22">
        <f>IF(ISBLANK(V21),D21,V21)</f>
        <v/>
      </c>
    </row>
    <row r="22">
      <c r="A22" s="11" t="inlineStr">
        <is>
          <t>Vendor Security Posture</t>
        </is>
      </c>
      <c r="B22" s="11" t="inlineStr">
        <is>
          <t>Deployment &amp; Data Governance</t>
        </is>
      </c>
      <c r="C22" s="6" t="n">
        <v>3</v>
      </c>
      <c r="D22" s="6" t="n">
        <v>3</v>
      </c>
      <c r="E22" s="12" t="inlineStr">
        <is>
          <r>
            <t xml:space="preserve">Backed corporately by Checkmarx since Sept 2024 (all core devs hired); Checkmarx conducts annual SOC 2 Type II audits per their Trust Center, but reports are request-gated, not fully public, and no ISO 27001 confirmation found. Source: </t>
          </r>
          <r>
            <rPr>
              <color rgb="000563C1"/>
              <u val="single"/>
            </rPr>
            <t>checkmarx.com/trust</t>
          </r>
        </is>
      </c>
      <c r="F22" s="11" t="inlineStr">
        <is>
          <t>paper</t>
        </is>
      </c>
      <c r="G22" s="13" t="n"/>
      <c r="H22" s="14" t="n"/>
      <c r="I22" s="15" t="n"/>
      <c r="J22" s="13" t="n"/>
      <c r="K22" s="14" t="n"/>
      <c r="L22" s="15" t="n"/>
      <c r="M22" s="13" t="n"/>
      <c r="N22" s="14" t="n"/>
      <c r="O22" s="15" t="n"/>
      <c r="P22" s="13" t="n"/>
      <c r="Q22" s="14" t="n"/>
      <c r="R22" s="15" t="n"/>
      <c r="S22" s="13" t="n"/>
      <c r="T22" s="14" t="n"/>
      <c r="U22" s="15" t="n"/>
      <c r="V22" s="13" t="n"/>
      <c r="W22" s="14" t="n"/>
      <c r="X22" s="14" t="n"/>
      <c r="Y22" s="6">
        <f>IF(ISBLANK(V22),"",V22-D22)</f>
        <v/>
      </c>
      <c r="Z22" t="inlineStr">
        <is>
          <t>vendor-security-posture</t>
        </is>
      </c>
      <c r="AA22" t="n">
        <v>0</v>
      </c>
      <c r="AB22">
        <f>IF(ISBLANK(V22),D22,V22)</f>
        <v/>
      </c>
    </row>
    <row r="23">
      <c r="A23" s="16" t="inlineStr">
        <is>
          <t>Historical Risk Trend Dashboards</t>
        </is>
      </c>
      <c r="B23" s="16" t="inlineStr">
        <is>
          <t>Reporting &amp; Extensibility</t>
        </is>
      </c>
      <c r="C23" s="17" t="n">
        <v>2</v>
      </c>
      <c r="D23" s="17" t="n">
        <v>1</v>
      </c>
      <c r="E23" s="18" t="inlineStr">
        <is>
          <r>
            <t xml:space="preserve">Produces per-scan reports only; no cross-scan executive trend dashboard. Source: </t>
          </r>
          <r>
            <rPr>
              <color rgb="000563C1"/>
              <u val="single"/>
            </rPr>
            <t>zaproxy.org/docs</t>
          </r>
          <r>
            <t xml:space="preserve"> (no historical/trend view exists in ZAP itself; the only related evidence found, Checkmarx One's Executive Overview Dashboard, is a separate paid platform's feature, not available in OSS ZAP)</t>
          </r>
        </is>
      </c>
      <c r="F23" s="16" t="inlineStr">
        <is>
          <t>paper</t>
        </is>
      </c>
      <c r="G23" s="19" t="n"/>
      <c r="H23" s="20" t="n"/>
      <c r="I23" s="21" t="n"/>
      <c r="J23" s="19" t="n"/>
      <c r="K23" s="20" t="n"/>
      <c r="L23" s="21" t="n"/>
      <c r="M23" s="19" t="n"/>
      <c r="N23" s="20" t="n"/>
      <c r="O23" s="21" t="n"/>
      <c r="P23" s="19" t="n"/>
      <c r="Q23" s="20" t="n"/>
      <c r="R23" s="21" t="n"/>
      <c r="S23" s="19" t="n"/>
      <c r="T23" s="20" t="n"/>
      <c r="U23" s="21" t="n"/>
      <c r="V23" s="19" t="n"/>
      <c r="W23" s="20" t="n"/>
      <c r="X23" s="20" t="n"/>
      <c r="Y23" s="17">
        <f>IF(ISBLANK(V23),"",V23-D23)</f>
        <v/>
      </c>
      <c r="Z23" s="22" t="inlineStr">
        <is>
          <t>historical-risk-trend-dashboards</t>
        </is>
      </c>
      <c r="AA23" s="22" t="n">
        <v>0</v>
      </c>
      <c r="AB23" s="22">
        <f>IF(ISBLANK(V23),D23,V23)</f>
        <v/>
      </c>
    </row>
    <row r="24">
      <c r="A24" s="11" t="inlineStr">
        <is>
          <t>Scan Performance &amp; Scalability</t>
        </is>
      </c>
      <c r="B24" s="11" t="inlineStr">
        <is>
          <t>Production Safety &amp; Operability</t>
        </is>
      </c>
      <c r="C24" s="6" t="n">
        <v>2</v>
      </c>
      <c r="D24" s="6" t="n">
        <v>3</v>
      </c>
      <c r="E24" s="12" t="inlineStr">
        <is>
          <r>
            <t xml:space="preserve">Real deployed horizontal-scaling evidence exists in ZAP's OSS ecosystem: an open-source Kubernetes operator (zap-operator) and a documented case study 'ZaaS: ZAP As A Service -- Continuous Security for 20K+ APIs'. This is ecosystem/architecture-pattern evidence rather than a built-in ZAP feature, hence a modest bump only. Source: </t>
          </r>
          <r>
            <rPr>
              <color rgb="000563C1"/>
              <u val="single"/>
            </rPr>
            <t>github.com/NCCloud/zap-operator</t>
          </r>
          <r>
            <t>, nullcon.net/talk/zaas-owasp-zap-as-a-service-continous-security-for-20k-apis</t>
          </r>
        </is>
      </c>
      <c r="F24" s="11" t="inlineStr">
        <is>
          <t>paper</t>
        </is>
      </c>
      <c r="G24" s="13" t="n"/>
      <c r="H24" s="14" t="n"/>
      <c r="I24" s="15" t="n"/>
      <c r="J24" s="13" t="n"/>
      <c r="K24" s="14" t="n"/>
      <c r="L24" s="15" t="n"/>
      <c r="M24" s="13" t="n"/>
      <c r="N24" s="14" t="n"/>
      <c r="O24" s="15" t="n"/>
      <c r="P24" s="13" t="n"/>
      <c r="Q24" s="14" t="n"/>
      <c r="R24" s="15" t="n"/>
      <c r="S24" s="13" t="n"/>
      <c r="T24" s="14" t="n"/>
      <c r="U24" s="15" t="n"/>
      <c r="V24" s="13" t="n"/>
      <c r="W24" s="14" t="n"/>
      <c r="X24" s="14" t="n"/>
      <c r="Y24" s="6">
        <f>IF(ISBLANK(V24),"",V24-D24)</f>
        <v/>
      </c>
      <c r="Z24" t="inlineStr">
        <is>
          <t>scan-performance-scalability</t>
        </is>
      </c>
      <c r="AA24" t="n">
        <v>0</v>
      </c>
      <c r="AB24">
        <f>IF(ISBLANK(V24),D24,V24)</f>
        <v/>
      </c>
    </row>
    <row r="25">
      <c r="A25" s="16" t="inlineStr">
        <is>
          <t>Ticketing &amp; Collaboration Integration</t>
        </is>
      </c>
      <c r="B25" s="16" t="inlineStr">
        <is>
          <t>Reporting &amp; Extensibility</t>
        </is>
      </c>
      <c r="C25" s="17" t="n">
        <v>2</v>
      </c>
      <c r="D25" s="17" t="n">
        <v>3</v>
      </c>
      <c r="E25" s="18" t="inlineStr">
        <is>
          <r>
            <t xml:space="preserve">ZAP's own official zaproxy/action-full-scan GitHub Action confirmed to auto-create/update/close a GitHub Issue as alerts resolve -- real one-way-plus-auto-close integration, but scoped to GitHub Issues specifically rather than Jira/ServiceNow/Slack named in the rubric. Source: </t>
          </r>
          <r>
            <rPr>
              <color rgb="000563C1"/>
              <u val="single"/>
            </rPr>
            <t>github.com/zaproxy/action-full-scan</t>
          </r>
        </is>
      </c>
      <c r="F25" s="16" t="inlineStr">
        <is>
          <t>paper</t>
        </is>
      </c>
      <c r="G25" s="19" t="n"/>
      <c r="H25" s="20" t="n"/>
      <c r="I25" s="21" t="n"/>
      <c r="J25" s="19" t="n"/>
      <c r="K25" s="20" t="n"/>
      <c r="L25" s="21" t="n"/>
      <c r="M25" s="19" t="n"/>
      <c r="N25" s="20" t="n"/>
      <c r="O25" s="21" t="n"/>
      <c r="P25" s="19" t="n"/>
      <c r="Q25" s="20" t="n"/>
      <c r="R25" s="21" t="n"/>
      <c r="S25" s="19" t="n"/>
      <c r="T25" s="20" t="n"/>
      <c r="U25" s="21" t="n"/>
      <c r="V25" s="19" t="n"/>
      <c r="W25" s="20" t="n"/>
      <c r="X25" s="20" t="n"/>
      <c r="Y25" s="17">
        <f>IF(ISBLANK(V25),"",V25-D25)</f>
        <v/>
      </c>
      <c r="Z25" s="22" t="inlineStr">
        <is>
          <t>ticketing-collaboration-integration</t>
        </is>
      </c>
      <c r="AA25" s="22" t="n">
        <v>0</v>
      </c>
      <c r="AB25" s="22">
        <f>IF(ISBLANK(V25),D25,V25)</f>
        <v/>
      </c>
    </row>
    <row r="26">
      <c r="A26" s="11" t="inlineStr">
        <is>
          <t>ASPM Integration</t>
        </is>
      </c>
      <c r="B26" s="11" t="inlineStr">
        <is>
          <t>Reporting &amp; Extensibility</t>
        </is>
      </c>
      <c r="C26" s="6" t="n">
        <v>2</v>
      </c>
      <c r="D26" s="6" t="n">
        <v>4</v>
      </c>
      <c r="E26" s="12" t="inlineStr">
        <is>
          <r>
            <t xml:space="preserve">DefectDojo, a named example ASPM platform, ships a dedicated, documented ZAP scan-report parser/importer as one of its supported import types -- a real first-party connector on the ASPM side, not just generic export. Source: </t>
          </r>
          <r>
            <rPr>
              <color rgb="000563C1"/>
              <u val="single"/>
            </rPr>
            <t>ironflower.nl/blog/defectdojo/defectdojo.html</t>
          </r>
        </is>
      </c>
      <c r="F26" s="11" t="inlineStr">
        <is>
          <t>paper</t>
        </is>
      </c>
      <c r="G26" s="13" t="n"/>
      <c r="H26" s="14" t="n"/>
      <c r="I26" s="15" t="n"/>
      <c r="J26" s="13" t="n"/>
      <c r="K26" s="14" t="n"/>
      <c r="L26" s="15" t="n"/>
      <c r="M26" s="13" t="n"/>
      <c r="N26" s="14" t="n"/>
      <c r="O26" s="15" t="n"/>
      <c r="P26" s="13" t="n"/>
      <c r="Q26" s="14" t="n"/>
      <c r="R26" s="15" t="n"/>
      <c r="S26" s="13" t="n"/>
      <c r="T26" s="14" t="n"/>
      <c r="U26" s="15" t="n"/>
      <c r="V26" s="13" t="n"/>
      <c r="W26" s="14" t="n"/>
      <c r="X26" s="14" t="n"/>
      <c r="Y26" s="6">
        <f>IF(ISBLANK(V26),"",V26-D26)</f>
        <v/>
      </c>
      <c r="Z26" t="inlineStr">
        <is>
          <t>aspm-integration</t>
        </is>
      </c>
      <c r="AA26" t="n">
        <v>0</v>
      </c>
      <c r="AB26">
        <f>IF(ISBLANK(V26),D26,V26)</f>
        <v/>
      </c>
    </row>
    <row r="27">
      <c r="A27" s="16" t="inlineStr">
        <is>
          <t>Finding Validation / Proof-of-Exploit</t>
        </is>
      </c>
      <c r="B27" s="16" t="inlineStr">
        <is>
          <t>Detection Quality</t>
        </is>
      </c>
      <c r="C27" s="17" t="n">
        <v>2</v>
      </c>
      <c r="D27" s="17" t="n">
        <v>3</v>
      </c>
      <c r="E27" s="18" t="inlineStr">
        <is>
          <r>
            <t xml:space="preserve">Active scan alerts attach real evidence (the matched payload/response snippet) per finding instance, but this is not a formalized, systematic proof-of-exploit/re-exploitation engine spanning all rule types. Source: </t>
          </r>
          <r>
            <rPr>
              <color rgb="000563C1"/>
              <u val="single"/>
            </rPr>
            <t>zaproxy.org/docs/desktop/start/features/alerts</t>
          </r>
        </is>
      </c>
      <c r="F27" s="16" t="inlineStr">
        <is>
          <t>paper</t>
        </is>
      </c>
      <c r="G27" s="19" t="n"/>
      <c r="H27" s="20" t="n"/>
      <c r="I27" s="21" t="n"/>
      <c r="J27" s="19" t="n"/>
      <c r="K27" s="20" t="n"/>
      <c r="L27" s="21" t="n"/>
      <c r="M27" s="19" t="n"/>
      <c r="N27" s="20" t="n"/>
      <c r="O27" s="21" t="n"/>
      <c r="P27" s="19" t="n"/>
      <c r="Q27" s="20" t="n"/>
      <c r="R27" s="21" t="n"/>
      <c r="S27" s="19" t="n"/>
      <c r="T27" s="20" t="n"/>
      <c r="U27" s="21" t="n"/>
      <c r="V27" s="19" t="n"/>
      <c r="W27" s="20" t="n"/>
      <c r="X27" s="20" t="n"/>
      <c r="Y27" s="17">
        <f>IF(ISBLANK(V27),"",V27-D27)</f>
        <v/>
      </c>
      <c r="Z27" s="22" t="inlineStr">
        <is>
          <t>finding-validation-proof-of-exploit</t>
        </is>
      </c>
      <c r="AA27" s="22" t="n">
        <v>0</v>
      </c>
      <c r="AB27" s="22">
        <f>IF(ISBLANK(V27),D27,V27)</f>
        <v/>
      </c>
    </row>
    <row r="28">
      <c r="A28" s="11" t="inlineStr">
        <is>
          <t>Reporting Quality / Exportability</t>
        </is>
      </c>
      <c r="B28" s="11" t="inlineStr">
        <is>
          <t>Reporting &amp; Extensibility</t>
        </is>
      </c>
      <c r="C28" s="6" t="n">
        <v>2</v>
      </c>
      <c r="D28" s="6" t="n">
        <v>4</v>
      </c>
      <c r="E28" s="12" t="inlineStr">
        <is>
          <r>
            <t xml:space="preserve">Native HTML, XML, and JSON report formats (JSON commonly used for pipeline/external-tool integration); a community-built (not first-party) add-on exports alerts as Jira issues. Source: </t>
          </r>
          <r>
            <rPr>
              <color rgb="000563C1"/>
              <u val="single"/>
            </rPr>
            <t>zaproxy.org/docs/desktop/addons/report-generation</t>
          </r>
          <r>
            <t>, kasunbalasooriya.medium.com/an-add-on-for-owasp-zap-to-export-alerts-of-a-web-application-as-issues-to-jira</t>
          </r>
        </is>
      </c>
      <c r="F28" s="11" t="inlineStr">
        <is>
          <t>paper</t>
        </is>
      </c>
      <c r="G28" s="13" t="n"/>
      <c r="H28" s="14" t="n"/>
      <c r="I28" s="15" t="n"/>
      <c r="J28" s="13" t="n"/>
      <c r="K28" s="14" t="n"/>
      <c r="L28" s="15" t="n"/>
      <c r="M28" s="13" t="n"/>
      <c r="N28" s="14" t="n"/>
      <c r="O28" s="15" t="n"/>
      <c r="P28" s="13" t="n"/>
      <c r="Q28" s="14" t="n"/>
      <c r="R28" s="15" t="n"/>
      <c r="S28" s="13" t="n"/>
      <c r="T28" s="14" t="n"/>
      <c r="U28" s="15" t="n"/>
      <c r="V28" s="13" t="n"/>
      <c r="W28" s="14" t="n"/>
      <c r="X28" s="14" t="n"/>
      <c r="Y28" s="6">
        <f>IF(ISBLANK(V28),"",V28-D28)</f>
        <v/>
      </c>
      <c r="Z28" t="inlineStr">
        <is>
          <t>reporting-exportability</t>
        </is>
      </c>
      <c r="AA28" t="n">
        <v>0</v>
      </c>
      <c r="AB28">
        <f>IF(ISBLANK(V28),D28,V28)</f>
        <v/>
      </c>
    </row>
    <row r="29">
      <c r="A29" s="16" t="inlineStr">
        <is>
          <t>Sensitive Financial Data Exposure Detection</t>
        </is>
      </c>
      <c r="B29" s="16" t="inlineStr">
        <is>
          <t>Detection Quality</t>
        </is>
      </c>
      <c r="C29" s="17" t="n">
        <v>2</v>
      </c>
      <c r="D29" s="17" t="n">
        <v>3.5</v>
      </c>
      <c r="E29" s="18" t="inlineStr">
        <is>
          <r>
            <t xml:space="preserve">Revised up with a real citation: the PII Disclosure passive rule (alert 10062) explicitly detects credit-card-like numbers validated via a Luhn checksum plus a Bank Identification Number (BIN) list lookup, and SSN-like patterns -- a more rigorous, validated mechanism than a bare regex match. No dedicated bank-routing/account-number-specific detection was confirmed. Source: </t>
          </r>
          <r>
            <rPr>
              <color rgb="000563C1"/>
              <u val="single"/>
            </rPr>
            <t>zaproxy.org/docs/alerts/10062</t>
          </r>
        </is>
      </c>
      <c r="F29" s="16" t="inlineStr">
        <is>
          <t>paper</t>
        </is>
      </c>
      <c r="G29" s="19" t="n"/>
      <c r="H29" s="20" t="n"/>
      <c r="I29" s="21" t="n"/>
      <c r="J29" s="19" t="n"/>
      <c r="K29" s="20" t="n"/>
      <c r="L29" s="21" t="n"/>
      <c r="M29" s="19" t="n"/>
      <c r="N29" s="20" t="n"/>
      <c r="O29" s="21" t="n"/>
      <c r="P29" s="19" t="n"/>
      <c r="Q29" s="20" t="n"/>
      <c r="R29" s="21" t="n"/>
      <c r="S29" s="19" t="n"/>
      <c r="T29" s="20" t="n"/>
      <c r="U29" s="21" t="n"/>
      <c r="V29" s="19" t="n"/>
      <c r="W29" s="20" t="n"/>
      <c r="X29" s="20" t="n"/>
      <c r="Y29" s="17">
        <f>IF(ISBLANK(V29),"",V29-D29)</f>
        <v/>
      </c>
      <c r="Z29" s="22" t="inlineStr">
        <is>
          <t>sensitive-financial-data-exposure</t>
        </is>
      </c>
      <c r="AA29" s="22" t="n">
        <v>0</v>
      </c>
      <c r="AB29" s="22">
        <f>IF(ISBLANK(V29),D29,V29)</f>
        <v/>
      </c>
    </row>
    <row r="30">
      <c r="A30" s="11" t="inlineStr">
        <is>
          <t>Asset Discovery &amp; Inventory Tracking</t>
        </is>
      </c>
      <c r="B30" s="11" t="inlineStr">
        <is>
          <t>Coverage</t>
        </is>
      </c>
      <c r="C30" s="6" t="n">
        <v>1</v>
      </c>
      <c r="D30" s="6" t="n">
        <v>1</v>
      </c>
      <c r="E30" s="12" t="inlineStr">
        <is>
          <r>
            <t xml:space="preserve">Not an attack-surface-management tool; requires a manually-provided target. Source: </t>
          </r>
          <r>
            <rPr>
              <color rgb="000563C1"/>
              <u val="single"/>
            </rPr>
            <t>github.com/zaproxy/zaproxy/wiki/RelatedProjects</t>
          </r>
          <r>
            <t xml:space="preserve"> (OWASP Amass is a separate, unrelated OWASP project, only listed as a 'Related Project' on ZAP's wiki, not an integration)</t>
          </r>
        </is>
      </c>
      <c r="F30" s="11" t="inlineStr">
        <is>
          <t>paper</t>
        </is>
      </c>
      <c r="G30" s="13" t="n"/>
      <c r="H30" s="14" t="n"/>
      <c r="I30" s="15" t="n"/>
      <c r="J30" s="13" t="n"/>
      <c r="K30" s="14" t="n"/>
      <c r="L30" s="15" t="n"/>
      <c r="M30" s="13" t="n"/>
      <c r="N30" s="14" t="n"/>
      <c r="O30" s="15" t="n"/>
      <c r="P30" s="13" t="n"/>
      <c r="Q30" s="14" t="n"/>
      <c r="R30" s="15" t="n"/>
      <c r="S30" s="13" t="n"/>
      <c r="T30" s="14" t="n"/>
      <c r="U30" s="15" t="n"/>
      <c r="V30" s="13" t="n"/>
      <c r="W30" s="14" t="n"/>
      <c r="X30" s="14" t="n"/>
      <c r="Y30" s="6">
        <f>IF(ISBLANK(V30),"",V30-D30)</f>
        <v/>
      </c>
      <c r="Z30" t="inlineStr">
        <is>
          <t>asset-discovery-inventory</t>
        </is>
      </c>
      <c r="AA30" t="n">
        <v>0</v>
      </c>
      <c r="AB30">
        <f>IF(ISBLANK(V30),D30,V30)</f>
        <v/>
      </c>
    </row>
    <row r="31">
      <c r="A31" s="16" t="inlineStr">
        <is>
          <t>IDE / Local Developer Tooling</t>
        </is>
      </c>
      <c r="B31" s="16" t="inlineStr">
        <is>
          <t>Developer Experience</t>
        </is>
      </c>
      <c r="C31" s="17" t="n">
        <v>1</v>
      </c>
      <c r="D31" s="17" t="n">
        <v>3</v>
      </c>
      <c r="E31" s="18" t="inlineStr">
        <is>
          <r>
            <t>ZAP ships a genuine, well-documented local desktop app plus official CLI/Docker packages (</t>
          </r>
          <r>
            <rPr>
              <color rgb="000563C1"/>
              <u val="single"/>
            </rPr>
            <t>zap-baseline.py</t>
          </r>
          <r>
            <t>, zap-full-scan.py) that developers can run pre-commit -- a solid rubric-3 match. No official IDE plugin exists for ZAP itself. Source: zaproxy.org, github.com/zaproxy/zaproxy</t>
          </r>
        </is>
      </c>
      <c r="F31" s="16" t="inlineStr">
        <is>
          <t>paper</t>
        </is>
      </c>
      <c r="G31" s="19" t="n"/>
      <c r="H31" s="20" t="n"/>
      <c r="I31" s="21" t="n"/>
      <c r="J31" s="19" t="n"/>
      <c r="K31" s="20" t="n"/>
      <c r="L31" s="21" t="n"/>
      <c r="M31" s="19" t="n"/>
      <c r="N31" s="20" t="n"/>
      <c r="O31" s="21" t="n"/>
      <c r="P31" s="19" t="n"/>
      <c r="Q31" s="20" t="n"/>
      <c r="R31" s="21" t="n"/>
      <c r="S31" s="19" t="n"/>
      <c r="T31" s="20" t="n"/>
      <c r="U31" s="21" t="n"/>
      <c r="V31" s="19" t="n"/>
      <c r="W31" s="20" t="n"/>
      <c r="X31" s="20" t="n"/>
      <c r="Y31" s="17">
        <f>IF(ISBLANK(V31),"",V31-D31)</f>
        <v/>
      </c>
      <c r="Z31" s="22" t="inlineStr">
        <is>
          <t>ide-local-dev-tooling</t>
        </is>
      </c>
      <c r="AA31" s="22" t="n">
        <v>0</v>
      </c>
      <c r="AB31" s="22">
        <f>IF(ISBLANK(V31),D31,V31)</f>
        <v/>
      </c>
    </row>
    <row r="32">
      <c r="A32" s="11" t="inlineStr">
        <is>
          <t>SIEM/SOAR Integration</t>
        </is>
      </c>
      <c r="B32" s="11" t="inlineStr">
        <is>
          <t>Reporting &amp; Extensibility</t>
        </is>
      </c>
      <c r="C32" s="6" t="n">
        <v>1</v>
      </c>
      <c r="D32" s="6" t="n">
        <v>2</v>
      </c>
      <c r="E32" s="12" t="inlineStr">
        <is>
          <r>
            <t xml:space="preserve">Possible via third-party bridging tools (e.g. Flame, forwarding ZAP output to Splunk) -- not a native ZAP capability. Source: </t>
          </r>
          <r>
            <rPr>
              <color rgb="000563C1"/>
              <u val="single"/>
            </rPr>
            <t>zaproxy.org/docs</t>
          </r>
          <r>
            <t xml:space="preserve"> (ZAP itself only outputs JSON/XML/HTML/Markdown reports, no CEF/syslog or native SIEM/SOAR connector)</t>
          </r>
        </is>
      </c>
      <c r="F32" s="11" t="inlineStr">
        <is>
          <t>paper</t>
        </is>
      </c>
      <c r="G32" s="13" t="n"/>
      <c r="H32" s="14" t="n"/>
      <c r="I32" s="15" t="n"/>
      <c r="J32" s="13" t="n"/>
      <c r="K32" s="14" t="n"/>
      <c r="L32" s="15" t="n"/>
      <c r="M32" s="13" t="n"/>
      <c r="N32" s="14" t="n"/>
      <c r="O32" s="15" t="n"/>
      <c r="P32" s="13" t="n"/>
      <c r="Q32" s="14" t="n"/>
      <c r="R32" s="15" t="n"/>
      <c r="S32" s="13" t="n"/>
      <c r="T32" s="14" t="n"/>
      <c r="U32" s="15" t="n"/>
      <c r="V32" s="13" t="n"/>
      <c r="W32" s="14" t="n"/>
      <c r="X32" s="14" t="n"/>
      <c r="Y32" s="6">
        <f>IF(ISBLANK(V32),"",V32-D32)</f>
        <v/>
      </c>
      <c r="Z32" t="inlineStr">
        <is>
          <t>siem-soar-integration</t>
        </is>
      </c>
      <c r="AA32" t="n">
        <v>0</v>
      </c>
      <c r="AB32">
        <f>IF(ISBLANK(V32),D32,V32)</f>
        <v/>
      </c>
    </row>
    <row r="33">
      <c r="A33" s="16" t="inlineStr">
        <is>
          <t>Third-Party/Partner API Risk Assessment</t>
        </is>
      </c>
      <c r="B33" s="16" t="inlineStr">
        <is>
          <t>Coverage</t>
        </is>
      </c>
      <c r="C33" s="17" t="n">
        <v>1</v>
      </c>
      <c r="D33" s="17" t="n">
        <v>3</v>
      </c>
      <c r="E33" s="18" t="inlineStr">
        <is>
          <r>
            <t xml:space="preserve">ZAP's OpenAPI/Swagger add-on scans any documented API including partner/open-banking-facing ones exactly like any other endpoint. No vendor-risk-assessment-formatted output found -- matches rubric level 3 cleanly. Source: </t>
          </r>
          <r>
            <rPr>
              <color rgb="000563C1"/>
              <u val="single"/>
            </rPr>
            <t>zaproxy.org/docs/desktop/addons/openapi-support</t>
          </r>
        </is>
      </c>
      <c r="F33" s="16" t="inlineStr">
        <is>
          <t>paper</t>
        </is>
      </c>
      <c r="G33" s="19" t="n"/>
      <c r="H33" s="20" t="n"/>
      <c r="I33" s="21" t="n"/>
      <c r="J33" s="19" t="n"/>
      <c r="K33" s="20" t="n"/>
      <c r="L33" s="21" t="n"/>
      <c r="M33" s="19" t="n"/>
      <c r="N33" s="20" t="n"/>
      <c r="O33" s="21" t="n"/>
      <c r="P33" s="19" t="n"/>
      <c r="Q33" s="20" t="n"/>
      <c r="R33" s="21" t="n"/>
      <c r="S33" s="19" t="n"/>
      <c r="T33" s="20" t="n"/>
      <c r="U33" s="21" t="n"/>
      <c r="V33" s="19" t="n"/>
      <c r="W33" s="20" t="n"/>
      <c r="X33" s="20" t="n"/>
      <c r="Y33" s="17">
        <f>IF(ISBLANK(V33),"",V33-D33)</f>
        <v/>
      </c>
      <c r="Z33" s="22" t="inlineStr">
        <is>
          <t>third-party-partner-api-risk</t>
        </is>
      </c>
      <c r="AA33" s="22" t="n">
        <v>0</v>
      </c>
      <c r="AB33" s="22">
        <f>IF(ISBLANK(V33),D33,V33)</f>
        <v/>
      </c>
    </row>
    <row r="34">
      <c r="A34" s="11" t="inlineStr">
        <is>
          <t>Extensibility / Custom Rules</t>
        </is>
      </c>
      <c r="B34" s="11" t="inlineStr">
        <is>
          <t>Reporting &amp; Extensibility</t>
        </is>
      </c>
      <c r="C34" s="6" t="n">
        <v>1</v>
      </c>
      <c r="D34" s="6" t="n">
        <v>5</v>
      </c>
      <c r="E34" s="12" t="inlineStr">
        <is>
          <r>
            <t xml:space="preserve">Scripting engine supports any JSR223-compatible language (Zest, JavaScript, Groovy, Python, Ruby); dedicated Active Scan Rules and Passive Scan Rules add-ons let custom detection logic run as part of a normal scan, backed by a large community add-on marketplace. Source: </t>
          </r>
          <r>
            <rPr>
              <color rgb="000563C1"/>
              <u val="single"/>
            </rPr>
            <t>zaproxy.org/docs/desktop/addons/active-scan-rules</t>
          </r>
          <r>
            <t>, zaproxy.org/docs/desktop/addons/passive-scan-rules</t>
          </r>
        </is>
      </c>
      <c r="F34" s="11" t="inlineStr">
        <is>
          <t>paper</t>
        </is>
      </c>
      <c r="G34" s="13" t="n"/>
      <c r="H34" s="14" t="n"/>
      <c r="I34" s="15" t="n"/>
      <c r="J34" s="13" t="n"/>
      <c r="K34" s="14" t="n"/>
      <c r="L34" s="15" t="n"/>
      <c r="M34" s="13" t="n"/>
      <c r="N34" s="14" t="n"/>
      <c r="O34" s="15" t="n"/>
      <c r="P34" s="13" t="n"/>
      <c r="Q34" s="14" t="n"/>
      <c r="R34" s="15" t="n"/>
      <c r="S34" s="13" t="n"/>
      <c r="T34" s="14" t="n"/>
      <c r="U34" s="15" t="n"/>
      <c r="V34" s="13" t="n"/>
      <c r="W34" s="14" t="n"/>
      <c r="X34" s="14" t="n"/>
      <c r="Y34" s="6">
        <f>IF(ISBLANK(V34),"",V34-D34)</f>
        <v/>
      </c>
      <c r="Z34" t="inlineStr">
        <is>
          <t>extensibility-custom-rules</t>
        </is>
      </c>
      <c r="AA34" t="n">
        <v>0</v>
      </c>
      <c r="AB34">
        <f>IF(ISBLANK(V34),D34,V34)</f>
        <v/>
      </c>
    </row>
    <row r="35">
      <c r="A35" s="16" t="inlineStr">
        <is>
          <t>Auto-Remediation / Auto-PR</t>
        </is>
      </c>
      <c r="B35" s="16" t="inlineStr">
        <is>
          <t>Developer Experience</t>
        </is>
      </c>
      <c r="C35" s="17" t="n">
        <v>0</v>
      </c>
      <c r="D35" s="17" t="n">
        <v>1</v>
      </c>
      <c r="E35" s="18" t="inlineStr">
        <is>
          <r>
            <t xml:space="preserve">No auto-remediation or auto-PR capability -- it's a scanner, not a code-fixing tool. Source: </t>
          </r>
          <r>
            <rPr>
              <color rgb="000563C1"/>
              <u val="single"/>
            </rPr>
            <t>github.com/zaproxy/action-full-scan</t>
          </r>
          <r>
            <t xml:space="preserve"> (ZAP's own official GitHub Action only opens/updates/closes a GitHub issue, no diff, no PR)</t>
          </r>
        </is>
      </c>
      <c r="F35" s="16" t="inlineStr">
        <is>
          <t>paper</t>
        </is>
      </c>
      <c r="G35" s="19" t="n"/>
      <c r="H35" s="20" t="n"/>
      <c r="I35" s="21" t="n"/>
      <c r="J35" s="19" t="n"/>
      <c r="K35" s="20" t="n"/>
      <c r="L35" s="21" t="n"/>
      <c r="M35" s="19" t="n"/>
      <c r="N35" s="20" t="n"/>
      <c r="O35" s="21" t="n"/>
      <c r="P35" s="19" t="n"/>
      <c r="Q35" s="20" t="n"/>
      <c r="R35" s="21" t="n"/>
      <c r="S35" s="19" t="n"/>
      <c r="T35" s="20" t="n"/>
      <c r="U35" s="21" t="n"/>
      <c r="V35" s="19" t="n"/>
      <c r="W35" s="20" t="n"/>
      <c r="X35" s="20" t="n"/>
      <c r="Y35" s="17">
        <f>IF(ISBLANK(V35),"",V35-D35)</f>
        <v/>
      </c>
      <c r="Z35" s="22" t="inlineStr">
        <is>
          <t>auto-remediation-pr</t>
        </is>
      </c>
      <c r="AA35" s="22" t="n">
        <v>0</v>
      </c>
      <c r="AB35" s="22">
        <f>IF(ISBLANK(V35),D35,V35)</f>
        <v/>
      </c>
    </row>
    <row r="36">
      <c r="A36" s="11" t="inlineStr">
        <is>
          <t>Incremental / Differential Scanning</t>
        </is>
      </c>
      <c r="B36" s="11" t="inlineStr">
        <is>
          <t>Production Safety &amp; Operability</t>
        </is>
      </c>
      <c r="C36" s="6" t="n">
        <v>0</v>
      </c>
      <c r="D36" s="6" t="n">
        <v>3</v>
      </c>
      <c r="E36" s="12" t="inlineStr">
        <is>
          <r>
            <t xml:space="preserve">ZAP's 'Contexts' feature lets users explicitly include/exclude URL patterns to scope a scan to specific paths, directly matching rubric level 3. No automatic change-detection-since-last-scan capability found. Source: </t>
          </r>
          <r>
            <rPr>
              <color rgb="000563C1"/>
              <u val="single"/>
            </rPr>
            <t>zaproxy.org/docs/desktop/start/features/contexts</t>
          </r>
        </is>
      </c>
      <c r="F36" s="11" t="inlineStr">
        <is>
          <t>paper</t>
        </is>
      </c>
      <c r="G36" s="13" t="n"/>
      <c r="H36" s="14" t="n"/>
      <c r="I36" s="15" t="n"/>
      <c r="J36" s="13" t="n"/>
      <c r="K36" s="14" t="n"/>
      <c r="L36" s="15" t="n"/>
      <c r="M36" s="13" t="n"/>
      <c r="N36" s="14" t="n"/>
      <c r="O36" s="15" t="n"/>
      <c r="P36" s="13" t="n"/>
      <c r="Q36" s="14" t="n"/>
      <c r="R36" s="15" t="n"/>
      <c r="S36" s="13" t="n"/>
      <c r="T36" s="14" t="n"/>
      <c r="U36" s="15" t="n"/>
      <c r="V36" s="13" t="n"/>
      <c r="W36" s="14" t="n"/>
      <c r="X36" s="14" t="n"/>
      <c r="Y36" s="6">
        <f>IF(ISBLANK(V36),"",V36-D36)</f>
        <v/>
      </c>
      <c r="Z36" t="inlineStr">
        <is>
          <t>incremental-differential-scanning</t>
        </is>
      </c>
      <c r="AA36" t="n">
        <v>0</v>
      </c>
      <c r="AB36">
        <f>IF(ISBLANK(V36),D36,V36)</f>
        <v/>
      </c>
    </row>
    <row r="37" ht="20" customHeight="1">
      <c r="A37" s="23" t="inlineStr">
        <is>
          <t>Summary</t>
        </is>
      </c>
    </row>
    <row r="38">
      <c r="A38" s="24" t="inlineStr">
        <is>
          <t>Coverage</t>
        </is>
      </c>
      <c r="B38" s="24" t="n"/>
      <c r="C38" s="24">
        <f>SUMPRODUCT((B4:B36="Coverage")*C4:C36*AB4:AB36*(1-AA4:AA36))/5</f>
        <v/>
      </c>
      <c r="D38" s="24">
        <f>TEXT(C38,"0.0")&amp;"/"&amp;TEXT(E38,"0")&amp;" available points"</f>
        <v/>
      </c>
      <c r="E38" s="24">
        <f>SUMPRODUCT((B4:B36="Coverage")*C4:C36*(1-AA4:AA36))</f>
        <v/>
      </c>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row>
    <row r="39">
      <c r="A39" t="inlineStr">
        <is>
          <t>Detection Quality</t>
        </is>
      </c>
      <c r="C39">
        <f>SUMPRODUCT((B4:B36="Detection Quality")*C4:C36*AB4:AB36*(1-AA4:AA36))/5</f>
        <v/>
      </c>
      <c r="D39">
        <f>TEXT(C39,"0.0")&amp;"/"&amp;TEXT(E39,"0")&amp;" available points"</f>
        <v/>
      </c>
      <c r="E39">
        <f>SUMPRODUCT((B4:B36="Detection Quality")*C4:C36*(1-AA4:AA36))</f>
        <v/>
      </c>
    </row>
    <row r="40">
      <c r="A40" t="inlineStr">
        <is>
          <t>Production Safety &amp; Operability</t>
        </is>
      </c>
      <c r="C40">
        <f>SUMPRODUCT((B4:B36="Production Safety &amp; Operability")*C4:C36*AB4:AB36*(1-AA4:AA36))/5</f>
        <v/>
      </c>
      <c r="D40">
        <f>TEXT(C40,"0.0")&amp;"/"&amp;TEXT(E40,"0")&amp;" available points"</f>
        <v/>
      </c>
      <c r="E40">
        <f>SUMPRODUCT((B4:B36="Production Safety &amp; Operability")*C4:C36*(1-AA4:AA36))</f>
        <v/>
      </c>
    </row>
    <row r="41">
      <c r="A41" t="inlineStr">
        <is>
          <t>Developer Experience</t>
        </is>
      </c>
      <c r="C41">
        <f>SUMPRODUCT((B4:B36="Developer Experience")*C4:C36*AB4:AB36*(1-AA4:AA36))/5</f>
        <v/>
      </c>
      <c r="D41">
        <f>TEXT(C41,"0.0")&amp;"/"&amp;TEXT(E41,"0")&amp;" available points"</f>
        <v/>
      </c>
      <c r="E41">
        <f>SUMPRODUCT((B4:B36="Developer Experience")*C4:C36*(1-AA4:AA36))</f>
        <v/>
      </c>
    </row>
    <row r="42">
      <c r="A42" t="inlineStr">
        <is>
          <t>Reporting &amp; Extensibility</t>
        </is>
      </c>
      <c r="C42">
        <f>SUMPRODUCT((B4:B36="Reporting &amp; Extensibility")*C4:C36*AB4:AB36*(1-AA4:AA36))/5</f>
        <v/>
      </c>
      <c r="D42">
        <f>TEXT(C42,"0.0")&amp;"/"&amp;TEXT(E42,"0")&amp;" available points"</f>
        <v/>
      </c>
      <c r="E42">
        <f>SUMPRODUCT((B4:B36="Reporting &amp; Extensibility")*C4:C36*(1-AA4:AA36))</f>
        <v/>
      </c>
    </row>
    <row r="43">
      <c r="A43" t="inlineStr">
        <is>
          <t>Deployment &amp; Data Governance</t>
        </is>
      </c>
      <c r="C43">
        <f>SUMPRODUCT((B4:B36="Deployment &amp; Data Governance")*C4:C36*AB4:AB36*(1-AA4:AA36))/5</f>
        <v/>
      </c>
      <c r="D43">
        <f>TEXT(C43,"0.0")&amp;"/"&amp;TEXT(E43,"0")&amp;" available points"</f>
        <v/>
      </c>
      <c r="E43">
        <f>SUMPRODUCT((B4:B36="Deployment &amp; Data Governance")*C4:C36*(1-AA4:AA36))</f>
        <v/>
      </c>
    </row>
    <row r="44">
      <c r="A44" t="inlineStr">
        <is>
          <t>Weighted Total</t>
        </is>
      </c>
      <c r="C44">
        <f>SUMPRODUCT(C4:C36,AB4:AB36,(1-AA4:AA36))/5</f>
        <v/>
      </c>
      <c r="D44">
        <f>TEXT(C44,"0.0")&amp;"/"&amp;TEXT(E44,"0")&amp;" available points"</f>
        <v/>
      </c>
      <c r="E44">
        <f>SUMPRODUCT(C4:C36,(1-AA4:AA36))</f>
        <v/>
      </c>
    </row>
  </sheetData>
  <sheetProtection selectLockedCells="0" selectUnlockedCells="0" sheet="1" objects="0" insertRows="1" insertHyperlinks="1" autoFilter="1" scenarios="0" formatColumns="1" deleteColumns="1" insertColumns="1" pivotTables="1" deleteRows="1" formatCells="1" formatRows="1" sort="1"/>
  <mergeCells count="5">
    <mergeCell ref="G2:I2"/>
    <mergeCell ref="J2:L2"/>
    <mergeCell ref="P2:R2"/>
    <mergeCell ref="M2:O2"/>
    <mergeCell ref="S2:U2"/>
  </mergeCells>
  <conditionalFormatting sqref="G4">
    <cfRule type="cellIs" priority="1" operator="equal" dxfId="0">
      <formula>""</formula>
    </cfRule>
  </conditionalFormatting>
  <conditionalFormatting sqref="J4">
    <cfRule type="cellIs" priority="2" operator="equal" dxfId="0">
      <formula>""</formula>
    </cfRule>
  </conditionalFormatting>
  <conditionalFormatting sqref="M4">
    <cfRule type="cellIs" priority="3" operator="equal" dxfId="0">
      <formula>""</formula>
    </cfRule>
  </conditionalFormatting>
  <conditionalFormatting sqref="P4">
    <cfRule type="cellIs" priority="4" operator="equal" dxfId="0">
      <formula>""</formula>
    </cfRule>
  </conditionalFormatting>
  <conditionalFormatting sqref="S4">
    <cfRule type="cellIs" priority="5" operator="equal" dxfId="0">
      <formula>""</formula>
    </cfRule>
  </conditionalFormatting>
  <conditionalFormatting sqref="V4">
    <cfRule type="cellIs" priority="6" operator="equal" dxfId="0">
      <formula>""</formula>
    </cfRule>
  </conditionalFormatting>
  <conditionalFormatting sqref="G5">
    <cfRule type="cellIs" priority="7" operator="equal" dxfId="0">
      <formula>""</formula>
    </cfRule>
  </conditionalFormatting>
  <conditionalFormatting sqref="J5">
    <cfRule type="cellIs" priority="8" operator="equal" dxfId="0">
      <formula>""</formula>
    </cfRule>
  </conditionalFormatting>
  <conditionalFormatting sqref="M5">
    <cfRule type="cellIs" priority="9" operator="equal" dxfId="0">
      <formula>""</formula>
    </cfRule>
  </conditionalFormatting>
  <conditionalFormatting sqref="P5">
    <cfRule type="cellIs" priority="10" operator="equal" dxfId="0">
      <formula>""</formula>
    </cfRule>
  </conditionalFormatting>
  <conditionalFormatting sqref="S5">
    <cfRule type="cellIs" priority="11" operator="equal" dxfId="0">
      <formula>""</formula>
    </cfRule>
  </conditionalFormatting>
  <conditionalFormatting sqref="V5">
    <cfRule type="cellIs" priority="12" operator="equal" dxfId="0">
      <formula>""</formula>
    </cfRule>
  </conditionalFormatting>
  <conditionalFormatting sqref="G6">
    <cfRule type="cellIs" priority="13" operator="equal" dxfId="0">
      <formula>""</formula>
    </cfRule>
  </conditionalFormatting>
  <conditionalFormatting sqref="J6">
    <cfRule type="cellIs" priority="14" operator="equal" dxfId="0">
      <formula>""</formula>
    </cfRule>
  </conditionalFormatting>
  <conditionalFormatting sqref="M6">
    <cfRule type="cellIs" priority="15" operator="equal" dxfId="0">
      <formula>""</formula>
    </cfRule>
  </conditionalFormatting>
  <conditionalFormatting sqref="P6">
    <cfRule type="cellIs" priority="16" operator="equal" dxfId="0">
      <formula>""</formula>
    </cfRule>
  </conditionalFormatting>
  <conditionalFormatting sqref="S6">
    <cfRule type="cellIs" priority="17" operator="equal" dxfId="0">
      <formula>""</formula>
    </cfRule>
  </conditionalFormatting>
  <conditionalFormatting sqref="V6">
    <cfRule type="cellIs" priority="18" operator="equal" dxfId="0">
      <formula>""</formula>
    </cfRule>
  </conditionalFormatting>
  <conditionalFormatting sqref="G7">
    <cfRule type="cellIs" priority="19" operator="equal" dxfId="0">
      <formula>""</formula>
    </cfRule>
  </conditionalFormatting>
  <conditionalFormatting sqref="J7">
    <cfRule type="cellIs" priority="20" operator="equal" dxfId="0">
      <formula>""</formula>
    </cfRule>
  </conditionalFormatting>
  <conditionalFormatting sqref="M7">
    <cfRule type="cellIs" priority="21" operator="equal" dxfId="0">
      <formula>""</formula>
    </cfRule>
  </conditionalFormatting>
  <conditionalFormatting sqref="P7">
    <cfRule type="cellIs" priority="22" operator="equal" dxfId="0">
      <formula>""</formula>
    </cfRule>
  </conditionalFormatting>
  <conditionalFormatting sqref="S7">
    <cfRule type="cellIs" priority="23" operator="equal" dxfId="0">
      <formula>""</formula>
    </cfRule>
  </conditionalFormatting>
  <conditionalFormatting sqref="V7">
    <cfRule type="cellIs" priority="24" operator="equal" dxfId="0">
      <formula>""</formula>
    </cfRule>
  </conditionalFormatting>
  <conditionalFormatting sqref="G8">
    <cfRule type="cellIs" priority="25" operator="equal" dxfId="0">
      <formula>""</formula>
    </cfRule>
  </conditionalFormatting>
  <conditionalFormatting sqref="J8">
    <cfRule type="cellIs" priority="26" operator="equal" dxfId="0">
      <formula>""</formula>
    </cfRule>
  </conditionalFormatting>
  <conditionalFormatting sqref="M8">
    <cfRule type="cellIs" priority="27" operator="equal" dxfId="0">
      <formula>""</formula>
    </cfRule>
  </conditionalFormatting>
  <conditionalFormatting sqref="P8">
    <cfRule type="cellIs" priority="28" operator="equal" dxfId="0">
      <formula>""</formula>
    </cfRule>
  </conditionalFormatting>
  <conditionalFormatting sqref="S8">
    <cfRule type="cellIs" priority="29" operator="equal" dxfId="0">
      <formula>""</formula>
    </cfRule>
  </conditionalFormatting>
  <conditionalFormatting sqref="V8">
    <cfRule type="cellIs" priority="30" operator="equal" dxfId="0">
      <formula>""</formula>
    </cfRule>
  </conditionalFormatting>
  <conditionalFormatting sqref="G9">
    <cfRule type="cellIs" priority="31" operator="equal" dxfId="0">
      <formula>""</formula>
    </cfRule>
  </conditionalFormatting>
  <conditionalFormatting sqref="J9">
    <cfRule type="cellIs" priority="32" operator="equal" dxfId="0">
      <formula>""</formula>
    </cfRule>
  </conditionalFormatting>
  <conditionalFormatting sqref="M9">
    <cfRule type="cellIs" priority="33" operator="equal" dxfId="0">
      <formula>""</formula>
    </cfRule>
  </conditionalFormatting>
  <conditionalFormatting sqref="P9">
    <cfRule type="cellIs" priority="34" operator="equal" dxfId="0">
      <formula>""</formula>
    </cfRule>
  </conditionalFormatting>
  <conditionalFormatting sqref="S9">
    <cfRule type="cellIs" priority="35" operator="equal" dxfId="0">
      <formula>""</formula>
    </cfRule>
  </conditionalFormatting>
  <conditionalFormatting sqref="V9">
    <cfRule type="cellIs" priority="36" operator="equal" dxfId="0">
      <formula>""</formula>
    </cfRule>
  </conditionalFormatting>
  <conditionalFormatting sqref="G10">
    <cfRule type="cellIs" priority="37" operator="equal" dxfId="0">
      <formula>""</formula>
    </cfRule>
  </conditionalFormatting>
  <conditionalFormatting sqref="J10">
    <cfRule type="cellIs" priority="38" operator="equal" dxfId="0">
      <formula>""</formula>
    </cfRule>
  </conditionalFormatting>
  <conditionalFormatting sqref="M10">
    <cfRule type="cellIs" priority="39" operator="equal" dxfId="0">
      <formula>""</formula>
    </cfRule>
  </conditionalFormatting>
  <conditionalFormatting sqref="P10">
    <cfRule type="cellIs" priority="40" operator="equal" dxfId="0">
      <formula>""</formula>
    </cfRule>
  </conditionalFormatting>
  <conditionalFormatting sqref="S10">
    <cfRule type="cellIs" priority="41" operator="equal" dxfId="0">
      <formula>""</formula>
    </cfRule>
  </conditionalFormatting>
  <conditionalFormatting sqref="V10">
    <cfRule type="cellIs" priority="42" operator="equal" dxfId="0">
      <formula>""</formula>
    </cfRule>
  </conditionalFormatting>
  <conditionalFormatting sqref="G11">
    <cfRule type="cellIs" priority="43" operator="equal" dxfId="0">
      <formula>""</formula>
    </cfRule>
  </conditionalFormatting>
  <conditionalFormatting sqref="J11">
    <cfRule type="cellIs" priority="44" operator="equal" dxfId="0">
      <formula>""</formula>
    </cfRule>
  </conditionalFormatting>
  <conditionalFormatting sqref="M11">
    <cfRule type="cellIs" priority="45" operator="equal" dxfId="0">
      <formula>""</formula>
    </cfRule>
  </conditionalFormatting>
  <conditionalFormatting sqref="P11">
    <cfRule type="cellIs" priority="46" operator="equal" dxfId="0">
      <formula>""</formula>
    </cfRule>
  </conditionalFormatting>
  <conditionalFormatting sqref="S11">
    <cfRule type="cellIs" priority="47" operator="equal" dxfId="0">
      <formula>""</formula>
    </cfRule>
  </conditionalFormatting>
  <conditionalFormatting sqref="V11">
    <cfRule type="cellIs" priority="48" operator="equal" dxfId="0">
      <formula>""</formula>
    </cfRule>
  </conditionalFormatting>
  <conditionalFormatting sqref="G12">
    <cfRule type="cellIs" priority="49" operator="equal" dxfId="0">
      <formula>""</formula>
    </cfRule>
  </conditionalFormatting>
  <conditionalFormatting sqref="J12">
    <cfRule type="cellIs" priority="50" operator="equal" dxfId="0">
      <formula>""</formula>
    </cfRule>
  </conditionalFormatting>
  <conditionalFormatting sqref="M12">
    <cfRule type="cellIs" priority="51" operator="equal" dxfId="0">
      <formula>""</formula>
    </cfRule>
  </conditionalFormatting>
  <conditionalFormatting sqref="P12">
    <cfRule type="cellIs" priority="52" operator="equal" dxfId="0">
      <formula>""</formula>
    </cfRule>
  </conditionalFormatting>
  <conditionalFormatting sqref="S12">
    <cfRule type="cellIs" priority="53" operator="equal" dxfId="0">
      <formula>""</formula>
    </cfRule>
  </conditionalFormatting>
  <conditionalFormatting sqref="V12">
    <cfRule type="cellIs" priority="54" operator="equal" dxfId="0">
      <formula>""</formula>
    </cfRule>
  </conditionalFormatting>
  <conditionalFormatting sqref="G13">
    <cfRule type="cellIs" priority="55" operator="equal" dxfId="0">
      <formula>""</formula>
    </cfRule>
  </conditionalFormatting>
  <conditionalFormatting sqref="J13">
    <cfRule type="cellIs" priority="56" operator="equal" dxfId="0">
      <formula>""</formula>
    </cfRule>
  </conditionalFormatting>
  <conditionalFormatting sqref="M13">
    <cfRule type="cellIs" priority="57" operator="equal" dxfId="0">
      <formula>""</formula>
    </cfRule>
  </conditionalFormatting>
  <conditionalFormatting sqref="P13">
    <cfRule type="cellIs" priority="58" operator="equal" dxfId="0">
      <formula>""</formula>
    </cfRule>
  </conditionalFormatting>
  <conditionalFormatting sqref="S13">
    <cfRule type="cellIs" priority="59" operator="equal" dxfId="0">
      <formula>""</formula>
    </cfRule>
  </conditionalFormatting>
  <conditionalFormatting sqref="V13">
    <cfRule type="cellIs" priority="60" operator="equal" dxfId="0">
      <formula>""</formula>
    </cfRule>
  </conditionalFormatting>
  <dataValidations count="2">
    <dataValidation sqref="G4 G5 G6 G7 G8 G9 G10 G11 G12 G13 G14 G15 G16 G17 G18 G19 G20 G21 G22 G23 G24 G25 G26 G27 G28 G29 G30 G31 G32 G33 G34 G35 G36 J4 J5 J6 J7 J8 J9 J10 J11 J12 J13 J14 J15 J16 J17 J18 J19 J20 J21 J22 J23 J24 J25 J26 J27 J28 J29 J30 J31 J32 J33 J34 J35 J36 M4 M5 M6 M7 M8 M9 M10 M11 M12 M13 M14 M15 M16 M17 M18 M19 M20 M21 M22 M23 M24 M25 M26 M27 M28 M29 M30 M31 M32 M33 M34 M35 M36 P4 P5 P6 P7 P8 P9 P10 P11 P12 P13 P14 P15 P16 P17 P18 P19 P20 P21 P22 P23 P24 P25 P26 P27 P28 P29 P30 P31 P32 P33 P34 P35 P36 S4 S5 S6 S7 S8 S9 S10 S11 S12 S13 S14 S15 S16 S17 S18 S19 S20 S21 S22 S23 S24 S25 S26 S27 S28 S29 S30 S31 S32 S33 S34 S35 S36 V4 V5 V6 V7 V8 V9 V10 V11 V12 V13 V14 V15 V16 V17 V18 V19 V20 V21 V22 V23 V24 V25 V26 V27 V28 V29 V30 V31 V32 V33 V34 V35 V36" showDropDown="0" showInputMessage="0" showErrorMessage="1" allowBlank="1" errorTitle="Invalid score" error="Score must be one of: 1.0, 1.5, 2.0, 2.5, 3.0, 3.5, 4.0, 4.5, 5.0" type="list" errorStyle="stop">
      <formula1>"1.0,1.5,2.0,2.5,3.0,3.5,4.0,4.5,5.0"</formula1>
    </dataValidation>
    <dataValidation sqref="H4 H5 H6 H7 H8 H9 H10 H11 H12 H13 H14 H15 H16 H17 H18 H19 H20 H21 H22 H23 H24 H25 H26 H27 H28 H29 H30 H31 H32 H33 H34 H35 H36 K4 K5 K6 K7 K8 K9 K10 K11 K12 K13 K14 K15 K16 K17 K18 K19 K20 K21 K22 K23 K24 K25 K26 K27 K28 K29 K30 K31 K32 K33 K34 K35 K36 N4 N5 N6 N7 N8 N9 N10 N11 N12 N13 N14 N15 N16 N17 N18 N19 N20 N21 N22 N23 N24 N25 N26 N27 N28 N29 N30 N31 N32 N33 N34 N35 N36 Q4 Q5 Q6 Q7 Q8 Q9 Q10 Q11 Q12 Q13 Q14 Q15 Q16 Q17 Q18 Q19 Q20 Q21 Q22 Q23 Q24 Q25 Q26 Q27 Q28 Q29 Q30 Q31 Q32 Q33 Q34 Q35 Q36 T4 T5 T6 T7 T8 T9 T10 T11 T12 T13 T14 T15 T16 T17 T18 T19 T20 T21 T22 T23 T24 T25 T26 T27 T28 T29 T30 T31 T32 T33 T34 T35 T36" showDropDown="0" showInputMessage="0" showErrorMessage="1" allowBlank="1" errorTitle="Invalid entry" error="Value must be &quot;Yes&quot; (or left blank)." type="list" errorStyle="stop">
      <formula1>"Yes"</formula1>
    </dataValidation>
  </dataValidation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5" r:id="rId10"/>
    <hyperlink xmlns:r="http://schemas.openxmlformats.org/officeDocument/2006/relationships" ref="E16" r:id="rId11"/>
    <hyperlink xmlns:r="http://schemas.openxmlformats.org/officeDocument/2006/relationships" ref="E17" r:id="rId12"/>
    <hyperlink xmlns:r="http://schemas.openxmlformats.org/officeDocument/2006/relationships" ref="E18" r:id="rId13"/>
    <hyperlink xmlns:r="http://schemas.openxmlformats.org/officeDocument/2006/relationships" ref="E19" r:id="rId14"/>
    <hyperlink xmlns:r="http://schemas.openxmlformats.org/officeDocument/2006/relationships" ref="E20" r:id="rId15"/>
    <hyperlink xmlns:r="http://schemas.openxmlformats.org/officeDocument/2006/relationships" ref="E21" r:id="rId16"/>
    <hyperlink xmlns:r="http://schemas.openxmlformats.org/officeDocument/2006/relationships" ref="E22" r:id="rId17"/>
    <hyperlink xmlns:r="http://schemas.openxmlformats.org/officeDocument/2006/relationships" ref="E23" r:id="rId18"/>
    <hyperlink xmlns:r="http://schemas.openxmlformats.org/officeDocument/2006/relationships" ref="E24" r:id="rId19"/>
    <hyperlink xmlns:r="http://schemas.openxmlformats.org/officeDocument/2006/relationships" ref="E25" r:id="rId20"/>
    <hyperlink xmlns:r="http://schemas.openxmlformats.org/officeDocument/2006/relationships" ref="E26" r:id="rId21"/>
    <hyperlink xmlns:r="http://schemas.openxmlformats.org/officeDocument/2006/relationships" ref="E27" r:id="rId22"/>
    <hyperlink xmlns:r="http://schemas.openxmlformats.org/officeDocument/2006/relationships" ref="E28" r:id="rId23"/>
    <hyperlink xmlns:r="http://schemas.openxmlformats.org/officeDocument/2006/relationships" ref="E29" r:id="rId24"/>
    <hyperlink xmlns:r="http://schemas.openxmlformats.org/officeDocument/2006/relationships" ref="E30" r:id="rId25"/>
    <hyperlink xmlns:r="http://schemas.openxmlformats.org/officeDocument/2006/relationships" ref="E31" r:id="rId26"/>
    <hyperlink xmlns:r="http://schemas.openxmlformats.org/officeDocument/2006/relationships" ref="E32" r:id="rId27"/>
    <hyperlink xmlns:r="http://schemas.openxmlformats.org/officeDocument/2006/relationships" ref="E33" r:id="rId28"/>
    <hyperlink xmlns:r="http://schemas.openxmlformats.org/officeDocument/2006/relationships" ref="E34" r:id="rId29"/>
    <hyperlink xmlns:r="http://schemas.openxmlformats.org/officeDocument/2006/relationships" ref="E35" r:id="rId30"/>
    <hyperlink xmlns:r="http://schemas.openxmlformats.org/officeDocument/2006/relationships" ref="E36" r:id="rId31"/>
  </hyperlinks>
  <pageMargins left="0.75" right="0.75" top="1" bottom="1" header="0.5" footer="0.5"/>
</worksheet>
</file>

<file path=xl/worksheets/sheet9.xml><?xml version="1.0" encoding="utf-8"?>
<worksheet xmlns="http://schemas.openxmlformats.org/spreadsheetml/2006/main">
  <sheetPr>
    <tabColor rgb="002E86AB"/>
    <outlinePr summaryBelow="1" summaryRight="1"/>
    <pageSetUpPr/>
  </sheetPr>
  <dimension ref="A1:AB44"/>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0" customWidth="1" min="3" max="3"/>
    <col width="14" customWidth="1" min="4" max="4"/>
    <col width="45" customWidth="1" min="5" max="5"/>
    <col width="16" customWidth="1" min="6" max="6"/>
    <col width="12" customWidth="1" min="7" max="7"/>
    <col width="12" customWidth="1" min="8" max="8"/>
    <col width="40" customWidth="1" min="9" max="9"/>
    <col width="12" customWidth="1" min="10" max="10"/>
    <col width="12" customWidth="1" min="11" max="11"/>
    <col width="40" customWidth="1" min="12" max="12"/>
    <col width="12" customWidth="1" min="13" max="13"/>
    <col width="12" customWidth="1" min="14" max="14"/>
    <col width="40" customWidth="1" min="15" max="15"/>
    <col width="12" customWidth="1" min="16" max="16"/>
    <col width="12" customWidth="1" min="17" max="17"/>
    <col width="40" customWidth="1" min="18" max="18"/>
    <col width="12" customWidth="1" min="19" max="19"/>
    <col width="12" customWidth="1" min="20" max="20"/>
    <col width="40" customWidth="1" min="21" max="21"/>
    <col width="14" customWidth="1" min="22" max="22"/>
    <col width="16" customWidth="1" min="23" max="23"/>
    <col width="18" customWidth="1" min="24" max="24"/>
    <col width="14" customWidth="1" min="25" max="25"/>
    <col hidden="1" width="13" customWidth="1" min="26" max="26"/>
    <col hidden="1" width="13" customWidth="1" min="27" max="27"/>
    <col hidden="1" width="13" customWidth="1" min="28" max="28"/>
  </cols>
  <sheetData>
    <row r="1" ht="28" customHeight="1">
      <c r="A1" s="1" t="inlineStr">
        <is>
          <t>Nuclei</t>
        </is>
      </c>
    </row>
    <row r="2" ht="24" customHeight="1">
      <c r="G2" s="3">
        <f>IF(Reviewers!B6="","Unassigned — see Reviewers tab",Reviewers!B6&amp;" - "&amp;Reviewers!C6)</f>
        <v/>
      </c>
      <c r="J2" s="3">
        <f>IF(Reviewers!B7="","Unassigned — see Reviewers tab",Reviewers!B7&amp;" - "&amp;Reviewers!C7)</f>
        <v/>
      </c>
      <c r="M2" s="3">
        <f>IF(Reviewers!B8="","Unassigned — see Reviewers tab",Reviewers!B8&amp;" - "&amp;Reviewers!C8)</f>
        <v/>
      </c>
      <c r="P2" s="3">
        <f>IF(Reviewers!B9="","Unassigned — see Reviewers tab",Reviewers!B9&amp;" - "&amp;Reviewers!C9)</f>
        <v/>
      </c>
      <c r="S2" s="3">
        <f>IF(Reviewers!B10="","Unassigned — see Reviewers tab",Reviewers!B10&amp;" - "&amp;Reviewers!C10)</f>
        <v/>
      </c>
    </row>
    <row r="3" ht="36" customHeight="1">
      <c r="A3" s="3" t="inlineStr">
        <is>
          <t>Criterion</t>
        </is>
      </c>
      <c r="B3" s="3" t="inlineStr">
        <is>
          <t>Category</t>
        </is>
      </c>
      <c r="C3" s="3" t="inlineStr">
        <is>
          <t>Weight</t>
        </is>
      </c>
      <c r="D3" s="3" t="inlineStr">
        <is>
          <t>Automated Score</t>
        </is>
      </c>
      <c r="E3" s="3" t="inlineStr">
        <is>
          <t>Automated Evidence</t>
        </is>
      </c>
      <c r="F3" s="3" t="inlineStr">
        <is>
          <t>Automated Confidence</t>
        </is>
      </c>
      <c r="G3" s="3" t="inlineStr">
        <is>
          <t>Score</t>
        </is>
      </c>
      <c r="H3" s="3" t="inlineStr">
        <is>
          <t>Dispute?</t>
        </is>
      </c>
      <c r="I3" s="3" t="inlineStr">
        <is>
          <t>Rationale</t>
        </is>
      </c>
      <c r="J3" s="3" t="inlineStr">
        <is>
          <t>Score</t>
        </is>
      </c>
      <c r="K3" s="3" t="inlineStr">
        <is>
          <t>Dispute?</t>
        </is>
      </c>
      <c r="L3" s="3" t="inlineStr">
        <is>
          <t>Rationale</t>
        </is>
      </c>
      <c r="M3" s="3" t="inlineStr">
        <is>
          <t>Score</t>
        </is>
      </c>
      <c r="N3" s="3" t="inlineStr">
        <is>
          <t>Dispute?</t>
        </is>
      </c>
      <c r="O3" s="3" t="inlineStr">
        <is>
          <t>Rationale</t>
        </is>
      </c>
      <c r="P3" s="3" t="inlineStr">
        <is>
          <t>Score</t>
        </is>
      </c>
      <c r="Q3" s="3" t="inlineStr">
        <is>
          <t>Dispute?</t>
        </is>
      </c>
      <c r="R3" s="3" t="inlineStr">
        <is>
          <t>Rationale</t>
        </is>
      </c>
      <c r="S3" s="3" t="inlineStr">
        <is>
          <t>Score</t>
        </is>
      </c>
      <c r="T3" s="3" t="inlineStr">
        <is>
          <t>Dispute?</t>
        </is>
      </c>
      <c r="U3" s="3" t="inlineStr">
        <is>
          <t>Rationale</t>
        </is>
      </c>
      <c r="V3" s="3" t="inlineStr">
        <is>
          <t>Resolved Score</t>
        </is>
      </c>
      <c r="W3" s="3" t="inlineStr">
        <is>
          <t>Resolved By</t>
        </is>
      </c>
      <c r="X3" s="3" t="inlineStr">
        <is>
          <t>Resolved Timestamp</t>
        </is>
      </c>
      <c r="Y3" s="3" t="inlineStr">
        <is>
          <t>Automated vs. Resolved Delta</t>
        </is>
      </c>
      <c r="Z3" s="3" t="inlineStr">
        <is>
          <t>_criterion_id</t>
        </is>
      </c>
      <c r="AA3" s="3" t="inlineStr">
        <is>
          <t>_pending</t>
        </is>
      </c>
      <c r="AB3" s="3" t="inlineStr">
        <is>
          <t>_effective_score</t>
        </is>
      </c>
    </row>
    <row r="4">
      <c r="A4" s="11" t="inlineStr">
        <is>
          <t>Detection Accuracy</t>
        </is>
      </c>
      <c r="B4" s="11" t="inlineStr">
        <is>
          <t>Detection Quality</t>
        </is>
      </c>
      <c r="C4" s="6" t="n">
        <v>7</v>
      </c>
      <c r="D4" s="6" t="n">
        <v>2</v>
      </c>
      <c r="E4" s="12" t="inlineStr">
        <is>
          <t>Aggregate hands-on: 4/15 (27%) known vulnerabilities detected across Juice Shop (2/10) and VAmPI (2/5). Confirms the low-confidence paper score's concern (2.5) -- Nuclei's signature-matching strength (known CVEs/exposures) doesn't align well with this ground truth's misconfiguration-heavy composition.</t>
        </is>
      </c>
      <c r="F4" s="11" t="inlineStr">
        <is>
          <t>hands-on</t>
        </is>
      </c>
      <c r="G4" s="13" t="n"/>
      <c r="H4" s="14" t="n"/>
      <c r="I4" s="15" t="n"/>
      <c r="J4" s="13" t="n"/>
      <c r="K4" s="14" t="n"/>
      <c r="L4" s="15" t="n"/>
      <c r="M4" s="13" t="n"/>
      <c r="N4" s="14" t="n"/>
      <c r="O4" s="15" t="n"/>
      <c r="P4" s="13" t="n"/>
      <c r="Q4" s="14" t="n"/>
      <c r="R4" s="15" t="n"/>
      <c r="S4" s="13" t="n"/>
      <c r="T4" s="14" t="n"/>
      <c r="U4" s="15" t="n"/>
      <c r="V4" s="13" t="n"/>
      <c r="W4" s="14" t="n"/>
      <c r="X4" s="14" t="n"/>
      <c r="Y4" s="6">
        <f>IF(ISBLANK(V4),"",V4-D4)</f>
        <v/>
      </c>
      <c r="Z4" t="inlineStr">
        <is>
          <t>detection-accuracy</t>
        </is>
      </c>
      <c r="AA4" t="n">
        <v>0</v>
      </c>
      <c r="AB4">
        <f>IF(ISBLANK(V4),D4,V4)</f>
        <v/>
      </c>
    </row>
    <row r="5">
      <c r="A5" s="16" t="inlineStr">
        <is>
          <t>Authentication &amp; Session Handling</t>
        </is>
      </c>
      <c r="B5" s="16" t="inlineStr">
        <is>
          <t>Coverage</t>
        </is>
      </c>
      <c r="C5" s="17" t="n">
        <v>6</v>
      </c>
      <c r="D5" s="17" t="n">
        <v>4</v>
      </c>
      <c r="E5" s="18" t="inlineStr">
        <is>
          <r>
            <t xml:space="preserve">v3.2 added real static + dynamic authentication (API keys, OAuth-style flows, session cookie/header maintenance) -- documented and real, though newer/less battle-tested than ZAP's scripting approach. Source: </t>
          </r>
          <r>
            <rPr>
              <color rgb="000563C1"/>
              <u val="single"/>
            </rPr>
            <t>projectdiscovery.io/blog/nuclei-3-2</t>
          </r>
        </is>
      </c>
      <c r="F5" s="16" t="inlineStr">
        <is>
          <t>paper</t>
        </is>
      </c>
      <c r="G5" s="19" t="n"/>
      <c r="H5" s="20" t="n"/>
      <c r="I5" s="21" t="n"/>
      <c r="J5" s="19" t="n"/>
      <c r="K5" s="20" t="n"/>
      <c r="L5" s="21" t="n"/>
      <c r="M5" s="19" t="n"/>
      <c r="N5" s="20" t="n"/>
      <c r="O5" s="21" t="n"/>
      <c r="P5" s="19" t="n"/>
      <c r="Q5" s="20" t="n"/>
      <c r="R5" s="21" t="n"/>
      <c r="S5" s="19" t="n"/>
      <c r="T5" s="20" t="n"/>
      <c r="U5" s="21" t="n"/>
      <c r="V5" s="19" t="n"/>
      <c r="W5" s="20" t="n"/>
      <c r="X5" s="20" t="n"/>
      <c r="Y5" s="17">
        <f>IF(ISBLANK(V5),"",V5-D5)</f>
        <v/>
      </c>
      <c r="Z5" s="22" t="inlineStr">
        <is>
          <t>auth-session-handling</t>
        </is>
      </c>
      <c r="AA5" s="22" t="n">
        <v>0</v>
      </c>
      <c r="AB5" s="22">
        <f>IF(ISBLANK(V5),D5,V5)</f>
        <v/>
      </c>
    </row>
    <row r="6">
      <c r="A6" s="11" t="inlineStr">
        <is>
          <t>Safe Production Scanning</t>
        </is>
      </c>
      <c r="B6" s="11" t="inlineStr">
        <is>
          <t>Production Safety &amp; Operability</t>
        </is>
      </c>
      <c r="C6" s="6" t="n">
        <v>6</v>
      </c>
      <c r="D6" s="6" t="n">
        <v>3.5</v>
      </c>
      <c r="E6" s="12" t="inlineStr">
        <is>
          <r>
            <t xml:space="preserve">Rate-limit (-rl/-rlm) and concurrency (-c/-pc) flags plus a 'template-spray' scan strategy that spreads load across many targets instead of hammering one -- real configurability for sensitive environments, but templates are match-based by default rather than a formally branded 'safe mode' like ZAP's. Source: </t>
          </r>
          <r>
            <rPr>
              <color rgb="000563C1"/>
              <u val="single"/>
            </rPr>
            <t>docs.projectdiscovery.io/opensource/nuclei/mass-scanning-cli</t>
          </r>
        </is>
      </c>
      <c r="F6" s="11" t="inlineStr">
        <is>
          <t>paper</t>
        </is>
      </c>
      <c r="G6" s="13" t="n"/>
      <c r="H6" s="14" t="n"/>
      <c r="I6" s="15" t="n"/>
      <c r="J6" s="13" t="n"/>
      <c r="K6" s="14" t="n"/>
      <c r="L6" s="15" t="n"/>
      <c r="M6" s="13" t="n"/>
      <c r="N6" s="14" t="n"/>
      <c r="O6" s="15" t="n"/>
      <c r="P6" s="13" t="n"/>
      <c r="Q6" s="14" t="n"/>
      <c r="R6" s="15" t="n"/>
      <c r="S6" s="13" t="n"/>
      <c r="T6" s="14" t="n"/>
      <c r="U6" s="15" t="n"/>
      <c r="V6" s="13" t="n"/>
      <c r="W6" s="14" t="n"/>
      <c r="X6" s="14" t="n"/>
      <c r="Y6" s="6">
        <f>IF(ISBLANK(V6),"",V6-D6)</f>
        <v/>
      </c>
      <c r="Z6" t="inlineStr">
        <is>
          <t>safe-prod-scanning</t>
        </is>
      </c>
      <c r="AA6" t="n">
        <v>0</v>
      </c>
      <c r="AB6">
        <f>IF(ISBLANK(V6),D6,V6)</f>
        <v/>
      </c>
    </row>
    <row r="7">
      <c r="A7" s="16" t="inlineStr">
        <is>
          <t>Legacy Application &amp; Protocol Support</t>
        </is>
      </c>
      <c r="B7" s="16" t="inlineStr">
        <is>
          <t>Coverage</t>
        </is>
      </c>
      <c r="C7" s="17" t="n">
        <v>5</v>
      </c>
      <c r="D7" s="17" t="n">
        <v>3</v>
      </c>
      <c r="E7" s="18" t="inlineStr">
        <is>
          <r>
            <t xml:space="preserve">Dedicated active-scan network-protocol templates for legacy services (FTP, Telnet, SMB, SSH) plus a JS protocol library (v9.8.0) for complex legacy protocol interactions (SMB, RDP) -- real active scanning of legacy protocols, though legacy web-app-framework coverage specifically is less clear. Source: </t>
          </r>
          <r>
            <rPr>
              <color rgb="000563C1"/>
              <u val="single"/>
            </rPr>
            <t>docs.projectdiscovery.io/templates/protocols/network</t>
          </r>
          <r>
            <t>, projectdiscovery.io/blog/nuclei-templates-v9-8-0-a-leap-forward-in-network-security-scanning</t>
          </r>
        </is>
      </c>
      <c r="F7" s="16" t="inlineStr">
        <is>
          <t>paper</t>
        </is>
      </c>
      <c r="G7" s="19" t="n"/>
      <c r="H7" s="20" t="n"/>
      <c r="I7" s="21" t="n"/>
      <c r="J7" s="19" t="n"/>
      <c r="K7" s="20" t="n"/>
      <c r="L7" s="21" t="n"/>
      <c r="M7" s="19" t="n"/>
      <c r="N7" s="20" t="n"/>
      <c r="O7" s="21" t="n"/>
      <c r="P7" s="19" t="n"/>
      <c r="Q7" s="20" t="n"/>
      <c r="R7" s="21" t="n"/>
      <c r="S7" s="19" t="n"/>
      <c r="T7" s="20" t="n"/>
      <c r="U7" s="21" t="n"/>
      <c r="V7" s="19" t="n"/>
      <c r="W7" s="20" t="n"/>
      <c r="X7" s="20" t="n"/>
      <c r="Y7" s="17">
        <f>IF(ISBLANK(V7),"",V7-D7)</f>
        <v/>
      </c>
      <c r="Z7" s="22" t="inlineStr">
        <is>
          <t>legacy-app-protocol-support</t>
        </is>
      </c>
      <c r="AA7" s="22" t="n">
        <v>0</v>
      </c>
      <c r="AB7" s="22">
        <f>IF(ISBLANK(V7),D7,V7)</f>
        <v/>
      </c>
    </row>
    <row r="8">
      <c r="A8" s="11" t="inlineStr">
        <is>
          <t>API/SPA Coverage</t>
        </is>
      </c>
      <c r="B8" s="11" t="inlineStr">
        <is>
          <t>Coverage</t>
        </is>
      </c>
      <c r="C8" s="6" t="n">
        <v>5</v>
      </c>
      <c r="D8" s="6" t="n">
        <v>3.5</v>
      </c>
      <c r="E8" s="12" t="inlineStr">
        <is>
          <r>
            <t xml:space="preserve">11,000+ community templates with strong dedicated GraphQL coverage (introspection, query-depth, batch-abuse); fundamentally a template-matcher against target URLs, not a headless-browser crawler -- weaker JS-rendered SPA content discovery than ZAP's AJAX Spider. Source: </t>
          </r>
          <r>
            <rPr>
              <color rgb="000563C1"/>
              <u val="single"/>
            </rPr>
            <t>github.com/projectdiscovery/nuclei-templates</t>
          </r>
        </is>
      </c>
      <c r="F8" s="11" t="inlineStr">
        <is>
          <t>paper</t>
        </is>
      </c>
      <c r="G8" s="13" t="n"/>
      <c r="H8" s="14" t="n"/>
      <c r="I8" s="15" t="n"/>
      <c r="J8" s="13" t="n"/>
      <c r="K8" s="14" t="n"/>
      <c r="L8" s="15" t="n"/>
      <c r="M8" s="13" t="n"/>
      <c r="N8" s="14" t="n"/>
      <c r="O8" s="15" t="n"/>
      <c r="P8" s="13" t="n"/>
      <c r="Q8" s="14" t="n"/>
      <c r="R8" s="15" t="n"/>
      <c r="S8" s="13" t="n"/>
      <c r="T8" s="14" t="n"/>
      <c r="U8" s="15" t="n"/>
      <c r="V8" s="13" t="n"/>
      <c r="W8" s="14" t="n"/>
      <c r="X8" s="14" t="n"/>
      <c r="Y8" s="6">
        <f>IF(ISBLANK(V8),"",V8-D8)</f>
        <v/>
      </c>
      <c r="Z8" t="inlineStr">
        <is>
          <t>api-spa-coverage</t>
        </is>
      </c>
      <c r="AA8" t="n">
        <v>0</v>
      </c>
      <c r="AB8">
        <f>IF(ISBLANK(V8),D8,V8)</f>
        <v/>
      </c>
    </row>
    <row r="9">
      <c r="A9" s="16" t="inlineStr">
        <is>
          <t>CI/CD-Native Fit</t>
        </is>
      </c>
      <c r="B9" s="16" t="inlineStr">
        <is>
          <t>Production Safety &amp; Operability</t>
        </is>
      </c>
      <c r="C9" s="17" t="n">
        <v>5</v>
      </c>
      <c r="D9" s="17" t="n">
        <v>3.5</v>
      </c>
      <c r="E9" s="18" t="inlineStr">
        <is>
          <r>
            <t xml:space="preserve">Strong JSON/JSONL/SARIF output and widespread CI adoption -- but Nuclei always returns exit code 0 regardless of findings; must parse JSON output yourself to fail a build. Falls short of clear exit codes. Source: </t>
          </r>
          <r>
            <rPr>
              <color rgb="000563C1"/>
              <u val="single"/>
            </rPr>
            <t>github.com/orgs/projectdiscovery/discussions/3218</t>
          </r>
        </is>
      </c>
      <c r="F9" s="16" t="inlineStr">
        <is>
          <t>paper</t>
        </is>
      </c>
      <c r="G9" s="19" t="n"/>
      <c r="H9" s="20" t="n"/>
      <c r="I9" s="21" t="n"/>
      <c r="J9" s="19" t="n"/>
      <c r="K9" s="20" t="n"/>
      <c r="L9" s="21" t="n"/>
      <c r="M9" s="19" t="n"/>
      <c r="N9" s="20" t="n"/>
      <c r="O9" s="21" t="n"/>
      <c r="P9" s="19" t="n"/>
      <c r="Q9" s="20" t="n"/>
      <c r="R9" s="21" t="n"/>
      <c r="S9" s="19" t="n"/>
      <c r="T9" s="20" t="n"/>
      <c r="U9" s="21" t="n"/>
      <c r="V9" s="19" t="n"/>
      <c r="W9" s="20" t="n"/>
      <c r="X9" s="20" t="n"/>
      <c r="Y9" s="17">
        <f>IF(ISBLANK(V9),"",V9-D9)</f>
        <v/>
      </c>
      <c r="Z9" s="22" t="inlineStr">
        <is>
          <t>cicd-native-fit</t>
        </is>
      </c>
      <c r="AA9" s="22" t="n">
        <v>0</v>
      </c>
      <c r="AB9" s="22">
        <f>IF(ISBLANK(V9),D9,V9)</f>
        <v/>
      </c>
    </row>
    <row r="10">
      <c r="A10" s="11" t="inlineStr">
        <is>
          <t>Deployment Model &amp; Data Residency</t>
        </is>
      </c>
      <c r="B10" s="11" t="inlineStr">
        <is>
          <t>Deployment &amp; Data Governance</t>
        </is>
      </c>
      <c r="C10" s="6" t="n">
        <v>5</v>
      </c>
      <c r="D10" s="6" t="n">
        <v>4.5</v>
      </c>
      <c r="E10" s="12" t="inlineStr">
        <is>
          <r>
            <t xml:space="preserve">Self-hosted OSS available, plus a SOC 2 compliant SaaS platform with EU and US hosting choice, plus TunnelX for internal/on-prem-adjacent scanning; fully air-gapped operation not confirmed. Source: </t>
          </r>
          <r>
            <rPr>
              <color rgb="000563C1"/>
              <u val="single"/>
            </rPr>
            <t>projectdiscovery.io</t>
          </r>
          <r>
            <t xml:space="preserve"> platform docs</t>
          </r>
        </is>
      </c>
      <c r="F10" s="11" t="inlineStr">
        <is>
          <t>paper</t>
        </is>
      </c>
      <c r="G10" s="13" t="n"/>
      <c r="H10" s="14" t="n"/>
      <c r="I10" s="15" t="n"/>
      <c r="J10" s="13" t="n"/>
      <c r="K10" s="14" t="n"/>
      <c r="L10" s="15" t="n"/>
      <c r="M10" s="13" t="n"/>
      <c r="N10" s="14" t="n"/>
      <c r="O10" s="15" t="n"/>
      <c r="P10" s="13" t="n"/>
      <c r="Q10" s="14" t="n"/>
      <c r="R10" s="15" t="n"/>
      <c r="S10" s="13" t="n"/>
      <c r="T10" s="14" t="n"/>
      <c r="U10" s="15" t="n"/>
      <c r="V10" s="13" t="n"/>
      <c r="W10" s="14" t="n"/>
      <c r="X10" s="14" t="n"/>
      <c r="Y10" s="6">
        <f>IF(ISBLANK(V10),"",V10-D10)</f>
        <v/>
      </c>
      <c r="Z10" t="inlineStr">
        <is>
          <t>deployment-model-data-residency</t>
        </is>
      </c>
      <c r="AA10" t="n">
        <v>0</v>
      </c>
      <c r="AB10">
        <f>IF(ISBLANK(V10),D10,V10)</f>
        <v/>
      </c>
    </row>
    <row r="11">
      <c r="A11" s="16" t="inlineStr">
        <is>
          <t>Business Logic &amp; Workflow Vulnerability Detection</t>
        </is>
      </c>
      <c r="B11" s="16" t="inlineStr">
        <is>
          <t>Coverage</t>
        </is>
      </c>
      <c r="C11" s="17" t="n">
        <v>4</v>
      </c>
      <c r="D11" s="17" t="n">
        <v>3</v>
      </c>
      <c r="E11" s="18" t="inlineStr">
        <is>
          <r>
            <t xml:space="preserve">Nuclei natively supports 'workflow' templates with a shared execution context (cookiejar reuse, named extractors, key-value sharing) across chained templates for multi-step authenticated flows (e.g. login -&gt; extract CSRF token -&gt; exploit) -- limited to predefined chained patterns. Source: </t>
          </r>
          <r>
            <rPr>
              <color rgb="000563C1"/>
              <u val="single"/>
            </rPr>
            <t>docs.projectdiscovery.io/templates/workflows/overview</t>
          </r>
          <r>
            <t>, nuclei.projectdiscovery.io/templating-guide/workflows</t>
          </r>
        </is>
      </c>
      <c r="F11" s="16" t="inlineStr">
        <is>
          <t>paper</t>
        </is>
      </c>
      <c r="G11" s="19" t="n"/>
      <c r="H11" s="20" t="n"/>
      <c r="I11" s="21" t="n"/>
      <c r="J11" s="19" t="n"/>
      <c r="K11" s="20" t="n"/>
      <c r="L11" s="21" t="n"/>
      <c r="M11" s="19" t="n"/>
      <c r="N11" s="20" t="n"/>
      <c r="O11" s="21" t="n"/>
      <c r="P11" s="19" t="n"/>
      <c r="Q11" s="20" t="n"/>
      <c r="R11" s="21" t="n"/>
      <c r="S11" s="19" t="n"/>
      <c r="T11" s="20" t="n"/>
      <c r="U11" s="21" t="n"/>
      <c r="V11" s="19" t="n"/>
      <c r="W11" s="20" t="n"/>
      <c r="X11" s="20" t="n"/>
      <c r="Y11" s="17">
        <f>IF(ISBLANK(V11),"",V11-D11)</f>
        <v/>
      </c>
      <c r="Z11" s="22" t="inlineStr">
        <is>
          <t>business-logic-workflow-detection</t>
        </is>
      </c>
      <c r="AA11" s="22" t="n">
        <v>0</v>
      </c>
      <c r="AB11" s="22">
        <f>IF(ISBLANK(V11),D11,V11)</f>
        <v/>
      </c>
    </row>
    <row r="12">
      <c r="A12" s="11" t="inlineStr">
        <is>
          <t>Noise / False-Positive Rate</t>
        </is>
      </c>
      <c r="B12" s="11" t="inlineStr">
        <is>
          <t>Detection Quality</t>
        </is>
      </c>
      <c r="C12" s="6" t="n">
        <v>4</v>
      </c>
      <c r="D12" s="6" t="n">
        <v>2</v>
      </c>
      <c r="E12" s="12" t="inlineStr">
        <is>
          <t>Aggregate hands-on: 17 false positives against 4 real detections. Coarse metric (counts legitimate info-level fingerprinting as FP too, not just wrong findings), but still a real ratio worth reflecting, refining the earlier paper score (4.5, now 2) downward significantly.</t>
        </is>
      </c>
      <c r="F12" s="11" t="inlineStr">
        <is>
          <t>hands-on</t>
        </is>
      </c>
      <c r="G12" s="13" t="n"/>
      <c r="H12" s="14" t="n"/>
      <c r="I12" s="15" t="n"/>
      <c r="J12" s="13" t="n"/>
      <c r="K12" s="14" t="n"/>
      <c r="L12" s="15" t="n"/>
      <c r="M12" s="13" t="n"/>
      <c r="N12" s="14" t="n"/>
      <c r="O12" s="15" t="n"/>
      <c r="P12" s="13" t="n"/>
      <c r="Q12" s="14" t="n"/>
      <c r="R12" s="15" t="n"/>
      <c r="S12" s="13" t="n"/>
      <c r="T12" s="14" t="n"/>
      <c r="U12" s="15" t="n"/>
      <c r="V12" s="13" t="n"/>
      <c r="W12" s="14" t="n"/>
      <c r="X12" s="14" t="n"/>
      <c r="Y12" s="6">
        <f>IF(ISBLANK(V12),"",V12-D12)</f>
        <v/>
      </c>
      <c r="Z12" t="inlineStr">
        <is>
          <t>false-positive-rate</t>
        </is>
      </c>
      <c r="AA12" t="n">
        <v>0</v>
      </c>
      <c r="AB12">
        <f>IF(ISBLANK(V12),D12,V12)</f>
        <v/>
      </c>
    </row>
    <row r="13">
      <c r="A13" s="16" t="inlineStr">
        <is>
          <t>Vulnerability Status Management</t>
        </is>
      </c>
      <c r="B13" s="16" t="inlineStr">
        <is>
          <t>Reporting &amp; Extensibility</t>
        </is>
      </c>
      <c r="C13" s="17" t="n">
        <v>4</v>
      </c>
      <c r="D13" s="17" t="n">
        <v>3</v>
      </c>
      <c r="E13" s="18" t="inlineStr">
        <is>
          <r>
            <t xml:space="preserve">ProjectDiscovery Cloud Platform has multiple lifecycle statuses beyond open/closed (a 'triaged' status per changelog) plus documented audit trails. No explicit dedicated risk-acceptance/exception workflow confirmed. Source: </t>
          </r>
          <r>
            <rPr>
              <color rgb="000563C1"/>
              <u val="single"/>
            </rPr>
            <t>feedback.projectdiscovery.io/changelog</t>
          </r>
          <r>
            <t>, projectdiscovery.io/vulnerability-management</t>
          </r>
        </is>
      </c>
      <c r="F13" s="16" t="inlineStr">
        <is>
          <t>paper</t>
        </is>
      </c>
      <c r="G13" s="19" t="n"/>
      <c r="H13" s="20" t="n"/>
      <c r="I13" s="21" t="n"/>
      <c r="J13" s="19" t="n"/>
      <c r="K13" s="20" t="n"/>
      <c r="L13" s="21" t="n"/>
      <c r="M13" s="19" t="n"/>
      <c r="N13" s="20" t="n"/>
      <c r="O13" s="21" t="n"/>
      <c r="P13" s="19" t="n"/>
      <c r="Q13" s="20" t="n"/>
      <c r="R13" s="21" t="n"/>
      <c r="S13" s="19" t="n"/>
      <c r="T13" s="20" t="n"/>
      <c r="U13" s="21" t="n"/>
      <c r="V13" s="19" t="n"/>
      <c r="W13" s="20" t="n"/>
      <c r="X13" s="20" t="n"/>
      <c r="Y13" s="17">
        <f>IF(ISBLANK(V13),"",V13-D13)</f>
        <v/>
      </c>
      <c r="Z13" s="22" t="inlineStr">
        <is>
          <t>vulnerability-status-management</t>
        </is>
      </c>
      <c r="AA13" s="22" t="n">
        <v>0</v>
      </c>
      <c r="AB13" s="22">
        <f>IF(ISBLANK(V13),D13,V13)</f>
        <v/>
      </c>
    </row>
    <row r="14">
      <c r="A14" s="11" t="inlineStr">
        <is>
          <t>Compliance &amp; Standards Mapping</t>
        </is>
      </c>
      <c r="B14" s="11" t="inlineStr">
        <is>
          <t>Detection Quality</t>
        </is>
      </c>
      <c r="C14" s="6" t="n">
        <v>4</v>
      </c>
      <c r="D14" s="6" t="n">
        <v>3.5</v>
      </c>
      <c r="E14" s="12" t="inlineStr">
        <is>
          <r>
            <t xml:space="preserve">Classification metadata (cvss-metrics, cvss-score, cve-id, cwe-id) is being actively normalized across templates, including a recent effort to normalize CWE-ID metadata across HTTP exposure/misconfiguration templates; no financial-services-specific (GLBA/SOX/FFIEC/NYDFS) mapping out of the box. Source: </t>
          </r>
          <r>
            <rPr>
              <color rgb="000563C1"/>
              <u val="single"/>
            </rPr>
            <t>github.com/projectdiscovery/nuclei-templates/blob/main/TEMPLATE-CREATION-GUIDE.md</t>
          </r>
        </is>
      </c>
      <c r="F14" s="11" t="inlineStr">
        <is>
          <t>paper</t>
        </is>
      </c>
      <c r="G14" s="13" t="n"/>
      <c r="H14" s="14" t="n"/>
      <c r="I14" s="15" t="n"/>
      <c r="J14" s="13" t="n"/>
      <c r="K14" s="14" t="n"/>
      <c r="L14" s="15" t="n"/>
      <c r="M14" s="13" t="n"/>
      <c r="N14" s="14" t="n"/>
      <c r="O14" s="15" t="n"/>
      <c r="P14" s="13" t="n"/>
      <c r="Q14" s="14" t="n"/>
      <c r="R14" s="15" t="n"/>
      <c r="S14" s="13" t="n"/>
      <c r="T14" s="14" t="n"/>
      <c r="U14" s="15" t="n"/>
      <c r="V14" s="13" t="n"/>
      <c r="W14" s="14" t="n"/>
      <c r="X14" s="14" t="n"/>
      <c r="Y14" s="6">
        <f>IF(ISBLANK(V14),"",V14-D14)</f>
        <v/>
      </c>
      <c r="Z14" t="inlineStr">
        <is>
          <t>compliance-standards-mapping</t>
        </is>
      </c>
      <c r="AA14" t="n">
        <v>0</v>
      </c>
      <c r="AB14">
        <f>IF(ISBLANK(V14),D14,V14)</f>
        <v/>
      </c>
    </row>
    <row r="15">
      <c r="A15" s="16" t="inlineStr">
        <is>
          <t>Shadow/Zombie API Discovery</t>
        </is>
      </c>
      <c r="B15" s="16" t="inlineStr">
        <is>
          <t>Coverage</t>
        </is>
      </c>
      <c r="C15" s="17" t="n">
        <v>4</v>
      </c>
      <c r="D15" s="17" t="n">
        <v>3</v>
      </c>
      <c r="E15" s="18" t="inlineStr">
        <is>
          <r>
            <t xml:space="preserve">Exposure/technology-fingerprint templates check for known paths (e.g. </t>
          </r>
          <r>
            <rPr>
              <color rgb="000563C1"/>
              <u val="single"/>
            </rPr>
            <t>robots.txt</t>
          </r>
          <r>
            <t>) as heuristic fingerprinting; the template catalog is actively pruned of false-positive/deprecated-service templates, but there's no dedicated deprecated/versioned-API-endpoint-aware discovery engine. Source: projectdiscovery.io/blog/nuclei-templates-april-2026</t>
          </r>
        </is>
      </c>
      <c r="F15" s="16" t="inlineStr">
        <is>
          <t>paper</t>
        </is>
      </c>
      <c r="G15" s="19" t="n"/>
      <c r="H15" s="20" t="n"/>
      <c r="I15" s="21" t="n"/>
      <c r="J15" s="19" t="n"/>
      <c r="K15" s="20" t="n"/>
      <c r="L15" s="21" t="n"/>
      <c r="M15" s="19" t="n"/>
      <c r="N15" s="20" t="n"/>
      <c r="O15" s="21" t="n"/>
      <c r="P15" s="19" t="n"/>
      <c r="Q15" s="20" t="n"/>
      <c r="R15" s="21" t="n"/>
      <c r="S15" s="19" t="n"/>
      <c r="T15" s="20" t="n"/>
      <c r="U15" s="21" t="n"/>
      <c r="V15" s="19" t="n"/>
      <c r="W15" s="20" t="n"/>
      <c r="X15" s="20" t="n"/>
      <c r="Y15" s="17">
        <f>IF(ISBLANK(V15),"",V15-D15)</f>
        <v/>
      </c>
      <c r="Z15" s="22" t="inlineStr">
        <is>
          <t>shadow-api-discovery</t>
        </is>
      </c>
      <c r="AA15" s="22" t="n">
        <v>0</v>
      </c>
      <c r="AB15" s="22">
        <f>IF(ISBLANK(V15),D15,V15)</f>
        <v/>
      </c>
    </row>
    <row r="16">
      <c r="A16" s="11" t="inlineStr">
        <is>
          <t>Triage &amp; Remediation Guidance</t>
        </is>
      </c>
      <c r="B16" s="11" t="inlineStr">
        <is>
          <t>Developer Experience</t>
        </is>
      </c>
      <c r="C16" s="6" t="n">
        <v>4</v>
      </c>
      <c r="D16" s="6" t="n">
        <v>3</v>
      </c>
      <c r="E16" s="12" t="inlineStr">
        <is>
          <r>
            <t xml:space="preserve">Template info block includes name/description/reference/severity/classification (CVSS/CWE/CVE) fields, but quality is inconsistent across 12,000+ community-contributed templates and not tailored to the specific instance/tech stack. Source: </t>
          </r>
          <r>
            <rPr>
              <color rgb="000563C1"/>
              <u val="single"/>
            </rPr>
            <t>docs.projectdiscovery.io/templates/structure</t>
          </r>
        </is>
      </c>
      <c r="F16" s="11" t="inlineStr">
        <is>
          <t>paper</t>
        </is>
      </c>
      <c r="G16" s="13" t="n"/>
      <c r="H16" s="14" t="n"/>
      <c r="I16" s="15" t="n"/>
      <c r="J16" s="13" t="n"/>
      <c r="K16" s="14" t="n"/>
      <c r="L16" s="15" t="n"/>
      <c r="M16" s="13" t="n"/>
      <c r="N16" s="14" t="n"/>
      <c r="O16" s="15" t="n"/>
      <c r="P16" s="13" t="n"/>
      <c r="Q16" s="14" t="n"/>
      <c r="R16" s="15" t="n"/>
      <c r="S16" s="13" t="n"/>
      <c r="T16" s="14" t="n"/>
      <c r="U16" s="15" t="n"/>
      <c r="V16" s="13" t="n"/>
      <c r="W16" s="14" t="n"/>
      <c r="X16" s="14" t="n"/>
      <c r="Y16" s="6">
        <f>IF(ISBLANK(V16),"",V16-D16)</f>
        <v/>
      </c>
      <c r="Z16" t="inlineStr">
        <is>
          <t>triage-remediation-guidance</t>
        </is>
      </c>
      <c r="AA16" t="n">
        <v>0</v>
      </c>
      <c r="AB16">
        <f>IF(ISBLANK(V16),D16,V16)</f>
        <v/>
      </c>
    </row>
    <row r="17">
      <c r="A17" s="16" t="inlineStr">
        <is>
          <t>Automated Triage / FP-Reduction Engine</t>
        </is>
      </c>
      <c r="B17" s="16" t="inlineStr">
        <is>
          <t>Detection Quality</t>
        </is>
      </c>
      <c r="C17" s="17" t="n">
        <v>3</v>
      </c>
      <c r="D17" s="17" t="n">
        <v>3.5</v>
      </c>
      <c r="E17" s="18" t="inlineStr">
        <is>
          <r>
            <t xml:space="preserve">ProjectDiscovery's dedicated 'Triage' product claims to automatically validate, reproduce, and resolve complex vulnerability reports via direct behavioral checks that validate exploitability at runtime -- architecturally close to active PoC generation/replay. No confirmation of learning from historical triage decisions (the ML/feedback-loop half of rubric-5), and language is marketing-level. Source: </t>
          </r>
          <r>
            <rPr>
              <color rgb="000563C1"/>
              <u val="single"/>
            </rPr>
            <t>projectdiscovery.io/triage</t>
          </r>
          <r>
            <t>, projectdiscovery.io/blog/why-current-vuln-scanners-fail-to-stop-breaches</t>
          </r>
        </is>
      </c>
      <c r="F17" s="16" t="inlineStr">
        <is>
          <t>paper</t>
        </is>
      </c>
      <c r="G17" s="19" t="n"/>
      <c r="H17" s="20" t="n"/>
      <c r="I17" s="21" t="n"/>
      <c r="J17" s="19" t="n"/>
      <c r="K17" s="20" t="n"/>
      <c r="L17" s="21" t="n"/>
      <c r="M17" s="19" t="n"/>
      <c r="N17" s="20" t="n"/>
      <c r="O17" s="21" t="n"/>
      <c r="P17" s="19" t="n"/>
      <c r="Q17" s="20" t="n"/>
      <c r="R17" s="21" t="n"/>
      <c r="S17" s="19" t="n"/>
      <c r="T17" s="20" t="n"/>
      <c r="U17" s="21" t="n"/>
      <c r="V17" s="19" t="n"/>
      <c r="W17" s="20" t="n"/>
      <c r="X17" s="20" t="n"/>
      <c r="Y17" s="17">
        <f>IF(ISBLANK(V17),"",V17-D17)</f>
        <v/>
      </c>
      <c r="Z17" s="22" t="inlineStr">
        <is>
          <t>automated-triage-fp-reduction</t>
        </is>
      </c>
      <c r="AA17" s="22" t="n">
        <v>0</v>
      </c>
      <c r="AB17" s="22">
        <f>IF(ISBLANK(V17),D17,V17)</f>
        <v/>
      </c>
    </row>
    <row r="18">
      <c r="A18" s="11" t="inlineStr">
        <is>
          <t>Traditional Stateful Web Crawling</t>
        </is>
      </c>
      <c r="B18" s="11" t="inlineStr">
        <is>
          <t>Coverage</t>
        </is>
      </c>
      <c r="C18" s="6" t="n">
        <v>3</v>
      </c>
      <c r="D18" s="6" t="n">
        <v>3</v>
      </c>
      <c r="E18" s="12" t="inlineStr">
        <is>
          <r>
            <t xml:space="preserve">Katana (PD's crawler) supports connecting to authenticated browser sessions (remote-debugging websocket, -cdd flag) and an experimental automatic-form-fill (-aff) feature -- real session continuity, but session-only cookies aren't persisted and form-fill is experimental. Source: </t>
          </r>
          <r>
            <rPr>
              <color rgb="000563C1"/>
              <u val="single"/>
            </rPr>
            <t>github.com/projectdiscovery/katana</t>
          </r>
          <r>
            <t>, docs.projectdiscovery.io/tools/katana/usage</t>
          </r>
        </is>
      </c>
      <c r="F18" s="11" t="inlineStr">
        <is>
          <t>paper</t>
        </is>
      </c>
      <c r="G18" s="13" t="n"/>
      <c r="H18" s="14" t="n"/>
      <c r="I18" s="15" t="n"/>
      <c r="J18" s="13" t="n"/>
      <c r="K18" s="14" t="n"/>
      <c r="L18" s="15" t="n"/>
      <c r="M18" s="13" t="n"/>
      <c r="N18" s="14" t="n"/>
      <c r="O18" s="15" t="n"/>
      <c r="P18" s="13" t="n"/>
      <c r="Q18" s="14" t="n"/>
      <c r="R18" s="15" t="n"/>
      <c r="S18" s="13" t="n"/>
      <c r="T18" s="14" t="n"/>
      <c r="U18" s="15" t="n"/>
      <c r="V18" s="13" t="n"/>
      <c r="W18" s="14" t="n"/>
      <c r="X18" s="14" t="n"/>
      <c r="Y18" s="6">
        <f>IF(ISBLANK(V18),"",V18-D18)</f>
        <v/>
      </c>
      <c r="Z18" t="inlineStr">
        <is>
          <t>stateful-web-crawling</t>
        </is>
      </c>
      <c r="AA18" t="n">
        <v>0</v>
      </c>
      <c r="AB18">
        <f>IF(ISBLANK(V18),D18,V18)</f>
        <v/>
      </c>
    </row>
    <row r="19">
      <c r="A19" s="16" t="inlineStr">
        <is>
          <t>Predictability of Licensing Model</t>
        </is>
      </c>
      <c r="B19" s="16" t="inlineStr">
        <is>
          <t>Deployment &amp; Data Governance</t>
        </is>
      </c>
      <c r="C19" s="17" t="n">
        <v>3</v>
      </c>
      <c r="D19" s="17" t="n">
        <v>3.5</v>
      </c>
      <c r="E19" s="18" t="inlineStr">
        <is>
          <r>
            <t xml:space="preserve">Core engine plus all 12,000+ community templates are MIT-licensed and free -- maximally predictable at zero cost. ProjectDiscovery Cloud (where advanced ASM/team features live) uses enterprise/contact-sales pricing without public per-asset rate transparency. Source: </t>
          </r>
          <r>
            <rPr>
              <color rgb="000563C1"/>
              <u val="single"/>
            </rPr>
            <t>github.com/projectdiscovery/nuclei</t>
          </r>
        </is>
      </c>
      <c r="F19" s="16" t="inlineStr">
        <is>
          <t>paper</t>
        </is>
      </c>
      <c r="G19" s="19" t="n"/>
      <c r="H19" s="20" t="n"/>
      <c r="I19" s="21" t="n"/>
      <c r="J19" s="19" t="n"/>
      <c r="K19" s="20" t="n"/>
      <c r="L19" s="21" t="n"/>
      <c r="M19" s="19" t="n"/>
      <c r="N19" s="20" t="n"/>
      <c r="O19" s="21" t="n"/>
      <c r="P19" s="19" t="n"/>
      <c r="Q19" s="20" t="n"/>
      <c r="R19" s="21" t="n"/>
      <c r="S19" s="19" t="n"/>
      <c r="T19" s="20" t="n"/>
      <c r="U19" s="21" t="n"/>
      <c r="V19" s="19" t="n"/>
      <c r="W19" s="20" t="n"/>
      <c r="X19" s="20" t="n"/>
      <c r="Y19" s="17">
        <f>IF(ISBLANK(V19),"",V19-D19)</f>
        <v/>
      </c>
      <c r="Z19" s="22" t="inlineStr">
        <is>
          <t>licensing-model-predictability</t>
        </is>
      </c>
      <c r="AA19" s="22" t="n">
        <v>0</v>
      </c>
      <c r="AB19" s="22">
        <f>IF(ISBLANK(V19),D19,V19)</f>
        <v/>
      </c>
    </row>
    <row r="20">
      <c r="A20" s="11" t="inlineStr">
        <is>
          <t>Multi-Tenancy &amp; Access Control</t>
        </is>
      </c>
      <c r="B20" s="11" t="inlineStr">
        <is>
          <t>Deployment &amp; Data Governance</t>
        </is>
      </c>
      <c r="C20" s="6" t="n">
        <v>3</v>
      </c>
      <c r="D20" s="6" t="n">
        <v>4</v>
      </c>
      <c r="E20" s="12" t="inlineStr">
        <is>
          <r>
            <t xml:space="preserve">Revised up with a real citation: ProjectDiscovery Cloud provides granular RBAC with defined roles, enterprise SSO integration, and comprehensive audit logs tracking who ran a scan, acknowledged a vulnerability, or changed a setting, with timestamps. Source: </t>
          </r>
          <r>
            <rPr>
              <color rgb="000563C1"/>
              <u val="single"/>
            </rPr>
            <t>projectdiscovery.io/blog/projectdiscovery-achieves-soc-2-type-2-certification</t>
          </r>
        </is>
      </c>
      <c r="F20" s="11" t="inlineStr">
        <is>
          <t>paper</t>
        </is>
      </c>
      <c r="G20" s="13" t="n"/>
      <c r="H20" s="14" t="n"/>
      <c r="I20" s="15" t="n"/>
      <c r="J20" s="13" t="n"/>
      <c r="K20" s="14" t="n"/>
      <c r="L20" s="15" t="n"/>
      <c r="M20" s="13" t="n"/>
      <c r="N20" s="14" t="n"/>
      <c r="O20" s="15" t="n"/>
      <c r="P20" s="13" t="n"/>
      <c r="Q20" s="14" t="n"/>
      <c r="R20" s="15" t="n"/>
      <c r="S20" s="13" t="n"/>
      <c r="T20" s="14" t="n"/>
      <c r="U20" s="15" t="n"/>
      <c r="V20" s="13" t="n"/>
      <c r="W20" s="14" t="n"/>
      <c r="X20" s="14" t="n"/>
      <c r="Y20" s="6">
        <f>IF(ISBLANK(V20),"",V20-D20)</f>
        <v/>
      </c>
      <c r="Z20" t="inlineStr">
        <is>
          <t>multi-tenancy-access-control</t>
        </is>
      </c>
      <c r="AA20" t="n">
        <v>0</v>
      </c>
      <c r="AB20">
        <f>IF(ISBLANK(V20),D20,V20)</f>
        <v/>
      </c>
    </row>
    <row r="21">
      <c r="A21" s="16" t="inlineStr">
        <is>
          <t>Setup &amp; Onboarding Friction</t>
        </is>
      </c>
      <c r="B21" s="16" t="inlineStr">
        <is>
          <t>Developer Experience</t>
        </is>
      </c>
      <c r="C21" s="17" t="n">
        <v>3</v>
      </c>
      <c r="D21" s="17" t="n">
        <v>5</v>
      </c>
      <c r="E21" s="18" t="inlineStr">
        <is>
          <r>
            <t xml:space="preserve">Single static Go binary installable via 'go install', a prebuilt binary download, or docker pull; '-update-templates' (or automatic first-run fetch) downloads the full community template library. Source: </t>
          </r>
          <r>
            <rPr>
              <color rgb="000563C1"/>
              <u val="single"/>
            </rPr>
            <t>docs.projectdiscovery.io/opensource/nuclei/install</t>
          </r>
        </is>
      </c>
      <c r="F21" s="16" t="inlineStr">
        <is>
          <t>paper</t>
        </is>
      </c>
      <c r="G21" s="19" t="n"/>
      <c r="H21" s="20" t="n"/>
      <c r="I21" s="21" t="n"/>
      <c r="J21" s="19" t="n"/>
      <c r="K21" s="20" t="n"/>
      <c r="L21" s="21" t="n"/>
      <c r="M21" s="19" t="n"/>
      <c r="N21" s="20" t="n"/>
      <c r="O21" s="21" t="n"/>
      <c r="P21" s="19" t="n"/>
      <c r="Q21" s="20" t="n"/>
      <c r="R21" s="21" t="n"/>
      <c r="S21" s="19" t="n"/>
      <c r="T21" s="20" t="n"/>
      <c r="U21" s="21" t="n"/>
      <c r="V21" s="19" t="n"/>
      <c r="W21" s="20" t="n"/>
      <c r="X21" s="20" t="n"/>
      <c r="Y21" s="17">
        <f>IF(ISBLANK(V21),"",V21-D21)</f>
        <v/>
      </c>
      <c r="Z21" s="22" t="inlineStr">
        <is>
          <t>setup-onboarding-friction</t>
        </is>
      </c>
      <c r="AA21" s="22" t="n">
        <v>0</v>
      </c>
      <c r="AB21" s="22">
        <f>IF(ISBLANK(V21),D21,V21)</f>
        <v/>
      </c>
    </row>
    <row r="22">
      <c r="A22" s="11" t="inlineStr">
        <is>
          <t>Vendor Security Posture</t>
        </is>
      </c>
      <c r="B22" s="11" t="inlineStr">
        <is>
          <t>Deployment &amp; Data Governance</t>
        </is>
      </c>
      <c r="C22" s="6" t="n">
        <v>3</v>
      </c>
      <c r="D22" s="6" t="n">
        <v>4.5</v>
      </c>
      <c r="E22" s="12" t="inlineStr">
        <is>
          <r>
            <t xml:space="preserve">Revised up with a real citation: ProjectDiscovery achieved SOC 2 Type 2 certification (AICPA SSAE 18 standard), confirmed via a dedicated announcement, plus a public Trust Center (SafeBase-powered); ISO 27001 certification still not confirmed. Source: </t>
          </r>
          <r>
            <rPr>
              <color rgb="000563C1"/>
              <u val="single"/>
            </rPr>
            <t>projectdiscovery.io/blog/projectdiscovery-achieves-soc-2-type-2-certification</t>
          </r>
          <r>
            <t>, security.projectdiscovery.io</t>
          </r>
        </is>
      </c>
      <c r="F22" s="11" t="inlineStr">
        <is>
          <t>paper</t>
        </is>
      </c>
      <c r="G22" s="13" t="n"/>
      <c r="H22" s="14" t="n"/>
      <c r="I22" s="15" t="n"/>
      <c r="J22" s="13" t="n"/>
      <c r="K22" s="14" t="n"/>
      <c r="L22" s="15" t="n"/>
      <c r="M22" s="13" t="n"/>
      <c r="N22" s="14" t="n"/>
      <c r="O22" s="15" t="n"/>
      <c r="P22" s="13" t="n"/>
      <c r="Q22" s="14" t="n"/>
      <c r="R22" s="15" t="n"/>
      <c r="S22" s="13" t="n"/>
      <c r="T22" s="14" t="n"/>
      <c r="U22" s="15" t="n"/>
      <c r="V22" s="13" t="n"/>
      <c r="W22" s="14" t="n"/>
      <c r="X22" s="14" t="n"/>
      <c r="Y22" s="6">
        <f>IF(ISBLANK(V22),"",V22-D22)</f>
        <v/>
      </c>
      <c r="Z22" t="inlineStr">
        <is>
          <t>vendor-security-posture</t>
        </is>
      </c>
      <c r="AA22" t="n">
        <v>0</v>
      </c>
      <c r="AB22">
        <f>IF(ISBLANK(V22),D22,V22)</f>
        <v/>
      </c>
    </row>
    <row r="23">
      <c r="A23" s="16" t="inlineStr">
        <is>
          <t>ASPM Integration</t>
        </is>
      </c>
      <c r="B23" s="16" t="inlineStr">
        <is>
          <t>Reporting &amp; Extensibility</t>
        </is>
      </c>
      <c r="C23" s="17" t="n">
        <v>2</v>
      </c>
      <c r="D23" s="17" t="n">
        <v>4</v>
      </c>
      <c r="E23" s="18" t="inlineStr">
        <is>
          <r>
            <t xml:space="preserve">DefectDojo (a rubric-named example ASPM platform) has a native, documented parser importing Nuclei's JSON scan output directly with defined dedup fields. A second ASPM connector (PointGuard AI) also has a dedicated Nuclei integration page. Short of full 5 since it's the ASPM platform's parser rather than a bidirectional connector on PD's own side. Source: </t>
          </r>
          <r>
            <rPr>
              <color rgb="000563C1"/>
              <u val="single"/>
            </rPr>
            <t>docs.defectdojo.com/supported_tools/parsers/file/nuclei</t>
          </r>
          <r>
            <t>, pointguardai.com/integrations/nuclei</t>
          </r>
        </is>
      </c>
      <c r="F23" s="16" t="inlineStr">
        <is>
          <t>paper</t>
        </is>
      </c>
      <c r="G23" s="19" t="n"/>
      <c r="H23" s="20" t="n"/>
      <c r="I23" s="21" t="n"/>
      <c r="J23" s="19" t="n"/>
      <c r="K23" s="20" t="n"/>
      <c r="L23" s="21" t="n"/>
      <c r="M23" s="19" t="n"/>
      <c r="N23" s="20" t="n"/>
      <c r="O23" s="21" t="n"/>
      <c r="P23" s="19" t="n"/>
      <c r="Q23" s="20" t="n"/>
      <c r="R23" s="21" t="n"/>
      <c r="S23" s="19" t="n"/>
      <c r="T23" s="20" t="n"/>
      <c r="U23" s="21" t="n"/>
      <c r="V23" s="19" t="n"/>
      <c r="W23" s="20" t="n"/>
      <c r="X23" s="20" t="n"/>
      <c r="Y23" s="17">
        <f>IF(ISBLANK(V23),"",V23-D23)</f>
        <v/>
      </c>
      <c r="Z23" s="22" t="inlineStr">
        <is>
          <t>aspm-integration</t>
        </is>
      </c>
      <c r="AA23" s="22" t="n">
        <v>0</v>
      </c>
      <c r="AB23" s="22">
        <f>IF(ISBLANK(V23),D23,V23)</f>
        <v/>
      </c>
    </row>
    <row r="24">
      <c r="A24" s="11" t="inlineStr">
        <is>
          <t>Sensitive Financial Data Exposure Detection</t>
        </is>
      </c>
      <c r="B24" s="11" t="inlineStr">
        <is>
          <t>Detection Quality</t>
        </is>
      </c>
      <c r="C24" s="6" t="n">
        <v>2</v>
      </c>
      <c r="D24" s="6" t="n">
        <v>3</v>
      </c>
      <c r="E24" s="12" t="inlineStr">
        <is>
          <r>
            <t xml:space="preserve">nuclei-templates repo has a merged </t>
          </r>
          <r>
            <rPr>
              <color rgb="000563C1"/>
              <u val="single"/>
            </rPr>
            <t>credit-card-number-detection.yaml</t>
          </r>
          <r>
            <t xml:space="preserve"> template (PR #11381, March 2025) and dedicated payment-processor secret-key templates (e.g. Stripe secret keys) -- covers card PANs and payment API secrets, no dedicated SSN/routing-number template found. Source: github.com/projectdiscovery/nuclei-templates/pull/11381, github.com/projectdiscovery/nuclei-templates/blob/master/exposures/tokens/stripe/stripe-secret-key.yaml</t>
          </r>
        </is>
      </c>
      <c r="F24" s="11" t="inlineStr">
        <is>
          <t>paper</t>
        </is>
      </c>
      <c r="G24" s="13" t="n"/>
      <c r="H24" s="14" t="n"/>
      <c r="I24" s="15" t="n"/>
      <c r="J24" s="13" t="n"/>
      <c r="K24" s="14" t="n"/>
      <c r="L24" s="15" t="n"/>
      <c r="M24" s="13" t="n"/>
      <c r="N24" s="14" t="n"/>
      <c r="O24" s="15" t="n"/>
      <c r="P24" s="13" t="n"/>
      <c r="Q24" s="14" t="n"/>
      <c r="R24" s="15" t="n"/>
      <c r="S24" s="13" t="n"/>
      <c r="T24" s="14" t="n"/>
      <c r="U24" s="15" t="n"/>
      <c r="V24" s="13" t="n"/>
      <c r="W24" s="14" t="n"/>
      <c r="X24" s="14" t="n"/>
      <c r="Y24" s="6">
        <f>IF(ISBLANK(V24),"",V24-D24)</f>
        <v/>
      </c>
      <c r="Z24" t="inlineStr">
        <is>
          <t>sensitive-financial-data-exposure</t>
        </is>
      </c>
      <c r="AA24" t="n">
        <v>0</v>
      </c>
      <c r="AB24">
        <f>IF(ISBLANK(V24),D24,V24)</f>
        <v/>
      </c>
    </row>
    <row r="25">
      <c r="A25" s="16" t="inlineStr">
        <is>
          <t>Finding Validation / Proof-of-Exploit</t>
        </is>
      </c>
      <c r="B25" s="16" t="inlineStr">
        <is>
          <t>Detection Quality</t>
        </is>
      </c>
      <c r="C25" s="17" t="n">
        <v>2</v>
      </c>
      <c r="D25" s="17" t="n">
        <v>3.5</v>
      </c>
      <c r="E25" s="18" t="inlineStr">
        <is>
          <r>
            <t xml:space="preserve">A template match is itself a precise, specific assertion (a matcher checking a string/regex/status-code against the actual response) -- arguably inherently more confirmed than a generic payload-based finding -- though not universally accompanied by explicit exploit-proof evidence beyond the match itself. Source: </t>
          </r>
          <r>
            <rPr>
              <color rgb="000563C1"/>
              <u val="single"/>
            </rPr>
            <t>docs.projectdiscovery.io/templates/structure</t>
          </r>
        </is>
      </c>
      <c r="F25" s="16" t="inlineStr">
        <is>
          <t>paper</t>
        </is>
      </c>
      <c r="G25" s="19" t="n"/>
      <c r="H25" s="20" t="n"/>
      <c r="I25" s="21" t="n"/>
      <c r="J25" s="19" t="n"/>
      <c r="K25" s="20" t="n"/>
      <c r="L25" s="21" t="n"/>
      <c r="M25" s="19" t="n"/>
      <c r="N25" s="20" t="n"/>
      <c r="O25" s="21" t="n"/>
      <c r="P25" s="19" t="n"/>
      <c r="Q25" s="20" t="n"/>
      <c r="R25" s="21" t="n"/>
      <c r="S25" s="19" t="n"/>
      <c r="T25" s="20" t="n"/>
      <c r="U25" s="21" t="n"/>
      <c r="V25" s="19" t="n"/>
      <c r="W25" s="20" t="n"/>
      <c r="X25" s="20" t="n"/>
      <c r="Y25" s="17">
        <f>IF(ISBLANK(V25),"",V25-D25)</f>
        <v/>
      </c>
      <c r="Z25" s="22" t="inlineStr">
        <is>
          <t>finding-validation-proof-of-exploit</t>
        </is>
      </c>
      <c r="AA25" s="22" t="n">
        <v>0</v>
      </c>
      <c r="AB25" s="22">
        <f>IF(ISBLANK(V25),D25,V25)</f>
        <v/>
      </c>
    </row>
    <row r="26">
      <c r="A26" s="11" t="inlineStr">
        <is>
          <t>Historical Risk Trend Dashboards</t>
        </is>
      </c>
      <c r="B26" s="11" t="inlineStr">
        <is>
          <t>Reporting &amp; Extensibility</t>
        </is>
      </c>
      <c r="C26" s="6" t="n">
        <v>2</v>
      </c>
      <c r="D26" s="6" t="n">
        <v>3.5</v>
      </c>
      <c r="E26" s="12" t="inlineStr">
        <is>
          <r>
            <t xml:space="preserve">Revised up with a real citation: ProjectDiscovery Cloud has built-in compliance/executive report generation, but an explicit remediation-velocity/risk-reduction-over-time trend view specifically isn't confirmed. Source: </t>
          </r>
          <r>
            <rPr>
              <color rgb="000563C1"/>
              <u val="single"/>
            </rPr>
            <t>projectdiscovery.io/blog/projectdiscovery-achieves-soc-2-type-2-certification</t>
          </r>
        </is>
      </c>
      <c r="F26" s="11" t="inlineStr">
        <is>
          <t>paper</t>
        </is>
      </c>
      <c r="G26" s="13" t="n"/>
      <c r="H26" s="14" t="n"/>
      <c r="I26" s="15" t="n"/>
      <c r="J26" s="13" t="n"/>
      <c r="K26" s="14" t="n"/>
      <c r="L26" s="15" t="n"/>
      <c r="M26" s="13" t="n"/>
      <c r="N26" s="14" t="n"/>
      <c r="O26" s="15" t="n"/>
      <c r="P26" s="13" t="n"/>
      <c r="Q26" s="14" t="n"/>
      <c r="R26" s="15" t="n"/>
      <c r="S26" s="13" t="n"/>
      <c r="T26" s="14" t="n"/>
      <c r="U26" s="15" t="n"/>
      <c r="V26" s="13" t="n"/>
      <c r="W26" s="14" t="n"/>
      <c r="X26" s="14" t="n"/>
      <c r="Y26" s="6">
        <f>IF(ISBLANK(V26),"",V26-D26)</f>
        <v/>
      </c>
      <c r="Z26" t="inlineStr">
        <is>
          <t>historical-risk-trend-dashboards</t>
        </is>
      </c>
      <c r="AA26" t="n">
        <v>0</v>
      </c>
      <c r="AB26">
        <f>IF(ISBLANK(V26),D26,V26)</f>
        <v/>
      </c>
    </row>
    <row r="27">
      <c r="A27" s="16" t="inlineStr">
        <is>
          <t>Reporting Quality / Exportability</t>
        </is>
      </c>
      <c r="B27" s="16" t="inlineStr">
        <is>
          <t>Reporting &amp; Extensibility</t>
        </is>
      </c>
      <c r="C27" s="17" t="n">
        <v>2</v>
      </c>
      <c r="D27" s="17" t="n">
        <v>4.5</v>
      </c>
      <c r="E27" s="18" t="inlineStr">
        <is>
          <r>
            <t xml:space="preserve">Native JSON, JSONL (-jsonl), and SARIF (-sarif-export) output; SARIF integrates natively with GitHub/GitLab code-scanning security tabs via the official nuclei-action. Source: </t>
          </r>
          <r>
            <rPr>
              <color rgb="000563C1"/>
              <u val="single"/>
            </rPr>
            <t>docs.github.com/en/code-security/code-scanning/integrating-with-code-scanning/sarif-support-for-code-scanning</t>
          </r>
          <r>
            <t>, github.com/projectdiscovery/nuclei-action</t>
          </r>
        </is>
      </c>
      <c r="F27" s="16" t="inlineStr">
        <is>
          <t>paper</t>
        </is>
      </c>
      <c r="G27" s="19" t="n"/>
      <c r="H27" s="20" t="n"/>
      <c r="I27" s="21" t="n"/>
      <c r="J27" s="19" t="n"/>
      <c r="K27" s="20" t="n"/>
      <c r="L27" s="21" t="n"/>
      <c r="M27" s="19" t="n"/>
      <c r="N27" s="20" t="n"/>
      <c r="O27" s="21" t="n"/>
      <c r="P27" s="19" t="n"/>
      <c r="Q27" s="20" t="n"/>
      <c r="R27" s="21" t="n"/>
      <c r="S27" s="19" t="n"/>
      <c r="T27" s="20" t="n"/>
      <c r="U27" s="21" t="n"/>
      <c r="V27" s="19" t="n"/>
      <c r="W27" s="20" t="n"/>
      <c r="X27" s="20" t="n"/>
      <c r="Y27" s="17">
        <f>IF(ISBLANK(V27),"",V27-D27)</f>
        <v/>
      </c>
      <c r="Z27" s="22" t="inlineStr">
        <is>
          <t>reporting-exportability</t>
        </is>
      </c>
      <c r="AA27" s="22" t="n">
        <v>0</v>
      </c>
      <c r="AB27" s="22">
        <f>IF(ISBLANK(V27),D27,V27)</f>
        <v/>
      </c>
    </row>
    <row r="28">
      <c r="A28" s="11" t="inlineStr">
        <is>
          <t>Scan Performance &amp; Scalability</t>
        </is>
      </c>
      <c r="B28" s="11" t="inlineStr">
        <is>
          <t>Production Safety &amp; Operability</t>
        </is>
      </c>
      <c r="C28" s="6" t="n">
        <v>2</v>
      </c>
      <c r="D28" s="6" t="n">
        <v>4.5</v>
      </c>
      <c r="E28" s="12" t="inlineStr">
        <is>
          <r>
            <t xml:space="preserve">Configurable rate-limit/concurrency/payload-concurrency flags support fast, parallel execution by design; ProjectDiscovery's cloud platform explicitly markets continuous scanning across an org's full exposure surface with daily auto-refresh. Source: </t>
          </r>
          <r>
            <rPr>
              <color rgb="000563C1"/>
              <u val="single"/>
            </rPr>
            <t>docs.projectdiscovery.io/opensource/nuclei/mass-scanning-cli</t>
          </r>
          <r>
            <t>, projectdiscovery.io/blog/pdcp-0-8-8</t>
          </r>
        </is>
      </c>
      <c r="F28" s="11" t="inlineStr">
        <is>
          <t>paper</t>
        </is>
      </c>
      <c r="G28" s="13" t="n"/>
      <c r="H28" s="14" t="n"/>
      <c r="I28" s="15" t="n"/>
      <c r="J28" s="13" t="n"/>
      <c r="K28" s="14" t="n"/>
      <c r="L28" s="15" t="n"/>
      <c r="M28" s="13" t="n"/>
      <c r="N28" s="14" t="n"/>
      <c r="O28" s="15" t="n"/>
      <c r="P28" s="13" t="n"/>
      <c r="Q28" s="14" t="n"/>
      <c r="R28" s="15" t="n"/>
      <c r="S28" s="13" t="n"/>
      <c r="T28" s="14" t="n"/>
      <c r="U28" s="15" t="n"/>
      <c r="V28" s="13" t="n"/>
      <c r="W28" s="14" t="n"/>
      <c r="X28" s="14" t="n"/>
      <c r="Y28" s="6">
        <f>IF(ISBLANK(V28),"",V28-D28)</f>
        <v/>
      </c>
      <c r="Z28" t="inlineStr">
        <is>
          <t>scan-performance-scalability</t>
        </is>
      </c>
      <c r="AA28" t="n">
        <v>0</v>
      </c>
      <c r="AB28">
        <f>IF(ISBLANK(V28),D28,V28)</f>
        <v/>
      </c>
    </row>
    <row r="29">
      <c r="A29" s="16" t="inlineStr">
        <is>
          <t>Ticketing &amp; Collaboration Integration</t>
        </is>
      </c>
      <c r="B29" s="16" t="inlineStr">
        <is>
          <t>Reporting &amp; Extensibility</t>
        </is>
      </c>
      <c r="C29" s="17" t="n">
        <v>2</v>
      </c>
      <c r="D29" s="17" t="n">
        <v>4.5</v>
      </c>
      <c r="E29" s="18" t="inlineStr">
        <is>
          <r>
            <t xml:space="preserve">Native Tracker integrations for GitHub, GitLab, Jira, and Linear with built-in deduplication (persisted locally in </t>
          </r>
          <r>
            <rPr>
              <color rgb="000563C1"/>
              <u val="single"/>
            </rPr>
            <t>reporting-db.json</t>
          </r>
          <r>
            <t>) that prevents duplicate tickets and can close issues automatically once a subsequent clean scan shows the vulnerability resolved -- more official than ZAP's community-maintained add-ons. Source: github.com/projectdiscovery/nuclei/blob/main/DESIGN.md</t>
          </r>
        </is>
      </c>
      <c r="F29" s="16" t="inlineStr">
        <is>
          <t>paper</t>
        </is>
      </c>
      <c r="G29" s="19" t="n"/>
      <c r="H29" s="20" t="n"/>
      <c r="I29" s="21" t="n"/>
      <c r="J29" s="19" t="n"/>
      <c r="K29" s="20" t="n"/>
      <c r="L29" s="21" t="n"/>
      <c r="M29" s="19" t="n"/>
      <c r="N29" s="20" t="n"/>
      <c r="O29" s="21" t="n"/>
      <c r="P29" s="19" t="n"/>
      <c r="Q29" s="20" t="n"/>
      <c r="R29" s="21" t="n"/>
      <c r="S29" s="19" t="n"/>
      <c r="T29" s="20" t="n"/>
      <c r="U29" s="21" t="n"/>
      <c r="V29" s="19" t="n"/>
      <c r="W29" s="20" t="n"/>
      <c r="X29" s="20" t="n"/>
      <c r="Y29" s="17">
        <f>IF(ISBLANK(V29),"",V29-D29)</f>
        <v/>
      </c>
      <c r="Z29" s="22" t="inlineStr">
        <is>
          <t>ticketing-collaboration-integration</t>
        </is>
      </c>
      <c r="AA29" s="22" t="n">
        <v>0</v>
      </c>
      <c r="AB29" s="22">
        <f>IF(ISBLANK(V29),D29,V29)</f>
        <v/>
      </c>
    </row>
    <row r="30">
      <c r="A30" s="11" t="inlineStr">
        <is>
          <t>IDE / Local Developer Tooling</t>
        </is>
      </c>
      <c r="B30" s="11" t="inlineStr">
        <is>
          <t>Developer Experience</t>
        </is>
      </c>
      <c r="C30" s="6" t="n">
        <v>1</v>
      </c>
      <c r="D30" s="6" t="n">
        <v>3</v>
      </c>
      <c r="E30" s="12" t="inlineStr">
        <is>
          <r>
            <t xml:space="preserve">Nuclei is fundamentally a CLI tool runnable locally -- exact rubric-3 match. No official first-party IDE plugin (only an unofficial third-party VS Code syntax-highlighting extension); official CI path is a GitHub Action, not a pre-commit hook. Source: </t>
          </r>
          <r>
            <rPr>
              <color rgb="000563C1"/>
              <u val="single"/>
            </rPr>
            <t>github.com/projectdiscovery/nuclei</t>
          </r>
          <r>
            <t>, github.com/projectdiscovery/nuclei-action</t>
          </r>
        </is>
      </c>
      <c r="F30" s="11" t="inlineStr">
        <is>
          <t>paper</t>
        </is>
      </c>
      <c r="G30" s="13" t="n"/>
      <c r="H30" s="14" t="n"/>
      <c r="I30" s="15" t="n"/>
      <c r="J30" s="13" t="n"/>
      <c r="K30" s="14" t="n"/>
      <c r="L30" s="15" t="n"/>
      <c r="M30" s="13" t="n"/>
      <c r="N30" s="14" t="n"/>
      <c r="O30" s="15" t="n"/>
      <c r="P30" s="13" t="n"/>
      <c r="Q30" s="14" t="n"/>
      <c r="R30" s="15" t="n"/>
      <c r="S30" s="13" t="n"/>
      <c r="T30" s="14" t="n"/>
      <c r="U30" s="15" t="n"/>
      <c r="V30" s="13" t="n"/>
      <c r="W30" s="14" t="n"/>
      <c r="X30" s="14" t="n"/>
      <c r="Y30" s="6">
        <f>IF(ISBLANK(V30),"",V30-D30)</f>
        <v/>
      </c>
      <c r="Z30" t="inlineStr">
        <is>
          <t>ide-local-dev-tooling</t>
        </is>
      </c>
      <c r="AA30" t="n">
        <v>0</v>
      </c>
      <c r="AB30">
        <f>IF(ISBLANK(V30),D30,V30)</f>
        <v/>
      </c>
    </row>
    <row r="31">
      <c r="A31" s="16" t="inlineStr">
        <is>
          <t>Third-Party/Partner API Risk Assessment</t>
        </is>
      </c>
      <c r="B31" s="16" t="inlineStr">
        <is>
          <t>Coverage</t>
        </is>
      </c>
      <c r="C31" s="17" t="n">
        <v>1</v>
      </c>
      <c r="D31" s="17" t="n">
        <v>2</v>
      </c>
      <c r="E31" s="18" t="inlineStr">
        <is>
          <r>
            <t xml:space="preserve">Cloud platform's attack-surface-management angle is about discovering your own exposed assets, not partner/third-party-integration risk assessment specifically. Source: </t>
          </r>
          <r>
            <rPr>
              <color rgb="000563C1"/>
              <u val="single"/>
            </rPr>
            <t>projectdiscovery.featurebase.app/p/api-security</t>
          </r>
          <r>
            <t xml:space="preserve"> ('API Security' appears on ProjectDiscovery's public roadmap, not yet shipped)</t>
          </r>
        </is>
      </c>
      <c r="F31" s="16" t="inlineStr">
        <is>
          <t>paper</t>
        </is>
      </c>
      <c r="G31" s="19" t="n"/>
      <c r="H31" s="20" t="n"/>
      <c r="I31" s="21" t="n"/>
      <c r="J31" s="19" t="n"/>
      <c r="K31" s="20" t="n"/>
      <c r="L31" s="21" t="n"/>
      <c r="M31" s="19" t="n"/>
      <c r="N31" s="20" t="n"/>
      <c r="O31" s="21" t="n"/>
      <c r="P31" s="19" t="n"/>
      <c r="Q31" s="20" t="n"/>
      <c r="R31" s="21" t="n"/>
      <c r="S31" s="19" t="n"/>
      <c r="T31" s="20" t="n"/>
      <c r="U31" s="21" t="n"/>
      <c r="V31" s="19" t="n"/>
      <c r="W31" s="20" t="n"/>
      <c r="X31" s="20" t="n"/>
      <c r="Y31" s="17">
        <f>IF(ISBLANK(V31),"",V31-D31)</f>
        <v/>
      </c>
      <c r="Z31" s="22" t="inlineStr">
        <is>
          <t>third-party-partner-api-risk</t>
        </is>
      </c>
      <c r="AA31" s="22" t="n">
        <v>0</v>
      </c>
      <c r="AB31" s="22">
        <f>IF(ISBLANK(V31),D31,V31)</f>
        <v/>
      </c>
    </row>
    <row r="32">
      <c r="A32" s="11" t="inlineStr">
        <is>
          <t>Asset Discovery &amp; Inventory Tracking</t>
        </is>
      </c>
      <c r="B32" s="11" t="inlineStr">
        <is>
          <t>Coverage</t>
        </is>
      </c>
      <c r="C32" s="6" t="n">
        <v>1</v>
      </c>
      <c r="D32" s="6" t="n">
        <v>5</v>
      </c>
      <c r="E32" s="12" t="inlineStr">
        <is>
          <r>
            <t xml:space="preserve">ProjectDiscovery's cloud platform is a genuine attack-surface-management product (subdomain/IP/ASN/CNAME/tech-fingerprint discovery, screenshots) -- an RSAC 2025 Innovation Sandbox finalist specifically for this capability. Source: RSAC 2025 Innovation Sandbox coverage, </t>
          </r>
          <r>
            <rPr>
              <color rgb="000563C1"/>
              <u val="single"/>
            </rPr>
            <t>projectdiscovery.io</t>
          </r>
        </is>
      </c>
      <c r="F32" s="11" t="inlineStr">
        <is>
          <t>paper</t>
        </is>
      </c>
      <c r="G32" s="13" t="n"/>
      <c r="H32" s="14" t="n"/>
      <c r="I32" s="15" t="n"/>
      <c r="J32" s="13" t="n"/>
      <c r="K32" s="14" t="n"/>
      <c r="L32" s="15" t="n"/>
      <c r="M32" s="13" t="n"/>
      <c r="N32" s="14" t="n"/>
      <c r="O32" s="15" t="n"/>
      <c r="P32" s="13" t="n"/>
      <c r="Q32" s="14" t="n"/>
      <c r="R32" s="15" t="n"/>
      <c r="S32" s="13" t="n"/>
      <c r="T32" s="14" t="n"/>
      <c r="U32" s="15" t="n"/>
      <c r="V32" s="13" t="n"/>
      <c r="W32" s="14" t="n"/>
      <c r="X32" s="14" t="n"/>
      <c r="Y32" s="6">
        <f>IF(ISBLANK(V32),"",V32-D32)</f>
        <v/>
      </c>
      <c r="Z32" t="inlineStr">
        <is>
          <t>asset-discovery-inventory</t>
        </is>
      </c>
      <c r="AA32" t="n">
        <v>0</v>
      </c>
      <c r="AB32">
        <f>IF(ISBLANK(V32),D32,V32)</f>
        <v/>
      </c>
    </row>
    <row r="33">
      <c r="A33" s="16" t="inlineStr">
        <is>
          <t>Extensibility / Custom Rules</t>
        </is>
      </c>
      <c r="B33" s="16" t="inlineStr">
        <is>
          <t>Reporting &amp; Extensibility</t>
        </is>
      </c>
      <c r="C33" s="17" t="n">
        <v>1</v>
      </c>
      <c r="D33" s="17" t="n">
        <v>5</v>
      </c>
      <c r="E33" s="18" t="inlineStr">
        <is>
          <r>
            <t xml:space="preserve">The entire engine is built around a simple YAML DSL explicitly designed for community/user-authored detection templates -- no vendor involvement needed to add new detection logic. Source: </t>
          </r>
          <r>
            <rPr>
              <color rgb="000563C1"/>
              <u val="single"/>
            </rPr>
            <t>docs.projectdiscovery.io/templates/structure</t>
          </r>
        </is>
      </c>
      <c r="F33" s="16" t="inlineStr">
        <is>
          <t>paper</t>
        </is>
      </c>
      <c r="G33" s="19" t="n"/>
      <c r="H33" s="20" t="n"/>
      <c r="I33" s="21" t="n"/>
      <c r="J33" s="19" t="n"/>
      <c r="K33" s="20" t="n"/>
      <c r="L33" s="21" t="n"/>
      <c r="M33" s="19" t="n"/>
      <c r="N33" s="20" t="n"/>
      <c r="O33" s="21" t="n"/>
      <c r="P33" s="19" t="n"/>
      <c r="Q33" s="20" t="n"/>
      <c r="R33" s="21" t="n"/>
      <c r="S33" s="19" t="n"/>
      <c r="T33" s="20" t="n"/>
      <c r="U33" s="21" t="n"/>
      <c r="V33" s="19" t="n"/>
      <c r="W33" s="20" t="n"/>
      <c r="X33" s="20" t="n"/>
      <c r="Y33" s="17">
        <f>IF(ISBLANK(V33),"",V33-D33)</f>
        <v/>
      </c>
      <c r="Z33" s="22" t="inlineStr">
        <is>
          <t>extensibility-custom-rules</t>
        </is>
      </c>
      <c r="AA33" s="22" t="n">
        <v>0</v>
      </c>
      <c r="AB33" s="22">
        <f>IF(ISBLANK(V33),D33,V33)</f>
        <v/>
      </c>
    </row>
    <row r="34">
      <c r="A34" s="11" t="inlineStr">
        <is>
          <t>SIEM/SOAR Integration</t>
        </is>
      </c>
      <c r="B34" s="11" t="inlineStr">
        <is>
          <t>Reporting &amp; Extensibility</t>
        </is>
      </c>
      <c r="C34" s="6" t="n">
        <v>1</v>
      </c>
      <c r="D34" s="6" t="n">
        <v>4.5</v>
      </c>
      <c r="E34" s="12" t="inlineStr">
        <is>
          <r>
            <t xml:space="preserve">Native Exporter integrations for Splunk and Elasticsearch (plus MongoDB). Source: </t>
          </r>
          <r>
            <rPr>
              <color rgb="000563C1"/>
              <u val="single"/>
            </rPr>
            <t>deepwiki.com/projectdiscovery/nuclei/6-output-and-reporting</t>
          </r>
        </is>
      </c>
      <c r="F34" s="11" t="inlineStr">
        <is>
          <t>paper</t>
        </is>
      </c>
      <c r="G34" s="13" t="n"/>
      <c r="H34" s="14" t="n"/>
      <c r="I34" s="15" t="n"/>
      <c r="J34" s="13" t="n"/>
      <c r="K34" s="14" t="n"/>
      <c r="L34" s="15" t="n"/>
      <c r="M34" s="13" t="n"/>
      <c r="N34" s="14" t="n"/>
      <c r="O34" s="15" t="n"/>
      <c r="P34" s="13" t="n"/>
      <c r="Q34" s="14" t="n"/>
      <c r="R34" s="15" t="n"/>
      <c r="S34" s="13" t="n"/>
      <c r="T34" s="14" t="n"/>
      <c r="U34" s="15" t="n"/>
      <c r="V34" s="13" t="n"/>
      <c r="W34" s="14" t="n"/>
      <c r="X34" s="14" t="n"/>
      <c r="Y34" s="6">
        <f>IF(ISBLANK(V34),"",V34-D34)</f>
        <v/>
      </c>
      <c r="Z34" t="inlineStr">
        <is>
          <t>siem-soar-integration</t>
        </is>
      </c>
      <c r="AA34" t="n">
        <v>0</v>
      </c>
      <c r="AB34">
        <f>IF(ISBLANK(V34),D34,V34)</f>
        <v/>
      </c>
    </row>
    <row r="35">
      <c r="A35" s="16" t="inlineStr">
        <is>
          <t>Auto-Remediation / Auto-PR</t>
        </is>
      </c>
      <c r="B35" s="16" t="inlineStr">
        <is>
          <t>Developer Experience</t>
        </is>
      </c>
      <c r="C35" s="17" t="n">
        <v>0</v>
      </c>
      <c r="D35" s="17" t="n">
        <v>3</v>
      </c>
      <c r="E35" s="18" t="inlineStr">
        <is>
          <r>
            <t xml:space="preserve">ProjectDiscovery's commercial 'Neo' product (PR Security Review) posts PR comments with the finding, exploit evidence, and a suggested fix, then retests once a fix is pushed -- does not open its own PR with a fix. Distinct commercial product in PD's own ecosystem, not Nuclei itself. Source: </t>
          </r>
          <r>
            <rPr>
              <color rgb="000563C1"/>
              <u val="single"/>
            </rPr>
            <t>projectdiscovery.io/solutions/pr-security-review</t>
          </r>
          <r>
            <t>, projectdiscovery.io/blog/continuous-pr-security-review</t>
          </r>
        </is>
      </c>
      <c r="F35" s="16" t="inlineStr">
        <is>
          <t>paper</t>
        </is>
      </c>
      <c r="G35" s="19" t="n"/>
      <c r="H35" s="20" t="n"/>
      <c r="I35" s="21" t="n"/>
      <c r="J35" s="19" t="n"/>
      <c r="K35" s="20" t="n"/>
      <c r="L35" s="21" t="n"/>
      <c r="M35" s="19" t="n"/>
      <c r="N35" s="20" t="n"/>
      <c r="O35" s="21" t="n"/>
      <c r="P35" s="19" t="n"/>
      <c r="Q35" s="20" t="n"/>
      <c r="R35" s="21" t="n"/>
      <c r="S35" s="19" t="n"/>
      <c r="T35" s="20" t="n"/>
      <c r="U35" s="21" t="n"/>
      <c r="V35" s="19" t="n"/>
      <c r="W35" s="20" t="n"/>
      <c r="X35" s="20" t="n"/>
      <c r="Y35" s="17">
        <f>IF(ISBLANK(V35),"",V35-D35)</f>
        <v/>
      </c>
      <c r="Z35" s="22" t="inlineStr">
        <is>
          <t>auto-remediation-pr</t>
        </is>
      </c>
      <c r="AA35" s="22" t="n">
        <v>0</v>
      </c>
      <c r="AB35" s="22">
        <f>IF(ISBLANK(V35),D35,V35)</f>
        <v/>
      </c>
    </row>
    <row r="36">
      <c r="A36" s="11" t="inlineStr">
        <is>
          <t>Incremental / Differential Scanning</t>
        </is>
      </c>
      <c r="B36" s="11" t="inlineStr">
        <is>
          <t>Production Safety &amp; Operability</t>
        </is>
      </c>
      <c r="C36" s="6" t="n">
        <v>0</v>
      </c>
      <c r="D36" s="6" t="n">
        <v>3</v>
      </c>
      <c r="E36" s="12" t="inlineStr">
        <is>
          <r>
            <t xml:space="preserve">ProjectDiscovery Cloud continuously monitors internet-exposed assets, automatically discovering new hosts/endpoints and alerting on attack-surface changes -- incremental at the asset-discovery/exposure level, not confirmed at the application-code/endpoint-content level the rubric describes. Source: </t>
          </r>
          <r>
            <rPr>
              <color rgb="000563C1"/>
              <u val="single"/>
            </rPr>
            <t>projectdiscovery.io/blog/the-new-way-to-discover-your-exposure</t>
          </r>
        </is>
      </c>
      <c r="F36" s="11" t="inlineStr">
        <is>
          <t>paper</t>
        </is>
      </c>
      <c r="G36" s="13" t="n"/>
      <c r="H36" s="14" t="n"/>
      <c r="I36" s="15" t="n"/>
      <c r="J36" s="13" t="n"/>
      <c r="K36" s="14" t="n"/>
      <c r="L36" s="15" t="n"/>
      <c r="M36" s="13" t="n"/>
      <c r="N36" s="14" t="n"/>
      <c r="O36" s="15" t="n"/>
      <c r="P36" s="13" t="n"/>
      <c r="Q36" s="14" t="n"/>
      <c r="R36" s="15" t="n"/>
      <c r="S36" s="13" t="n"/>
      <c r="T36" s="14" t="n"/>
      <c r="U36" s="15" t="n"/>
      <c r="V36" s="13" t="n"/>
      <c r="W36" s="14" t="n"/>
      <c r="X36" s="14" t="n"/>
      <c r="Y36" s="6">
        <f>IF(ISBLANK(V36),"",V36-D36)</f>
        <v/>
      </c>
      <c r="Z36" t="inlineStr">
        <is>
          <t>incremental-differential-scanning</t>
        </is>
      </c>
      <c r="AA36" t="n">
        <v>0</v>
      </c>
      <c r="AB36">
        <f>IF(ISBLANK(V36),D36,V36)</f>
        <v/>
      </c>
    </row>
    <row r="37" ht="20" customHeight="1">
      <c r="A37" s="23" t="inlineStr">
        <is>
          <t>Summary</t>
        </is>
      </c>
    </row>
    <row r="38">
      <c r="A38" s="24" t="inlineStr">
        <is>
          <t>Coverage</t>
        </is>
      </c>
      <c r="B38" s="24" t="n"/>
      <c r="C38" s="24">
        <f>SUMPRODUCT((B4:B36="Coverage")*C4:C36*AB4:AB36*(1-AA4:AA36))/5</f>
        <v/>
      </c>
      <c r="D38" s="24">
        <f>TEXT(C38,"0.0")&amp;"/"&amp;TEXT(E38,"0")&amp;" available points"</f>
        <v/>
      </c>
      <c r="E38" s="24">
        <f>SUMPRODUCT((B4:B36="Coverage")*C4:C36*(1-AA4:AA36))</f>
        <v/>
      </c>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row>
    <row r="39">
      <c r="A39" t="inlineStr">
        <is>
          <t>Detection Quality</t>
        </is>
      </c>
      <c r="C39">
        <f>SUMPRODUCT((B4:B36="Detection Quality")*C4:C36*AB4:AB36*(1-AA4:AA36))/5</f>
        <v/>
      </c>
      <c r="D39">
        <f>TEXT(C39,"0.0")&amp;"/"&amp;TEXT(E39,"0")&amp;" available points"</f>
        <v/>
      </c>
      <c r="E39">
        <f>SUMPRODUCT((B4:B36="Detection Quality")*C4:C36*(1-AA4:AA36))</f>
        <v/>
      </c>
    </row>
    <row r="40">
      <c r="A40" t="inlineStr">
        <is>
          <t>Production Safety &amp; Operability</t>
        </is>
      </c>
      <c r="C40">
        <f>SUMPRODUCT((B4:B36="Production Safety &amp; Operability")*C4:C36*AB4:AB36*(1-AA4:AA36))/5</f>
        <v/>
      </c>
      <c r="D40">
        <f>TEXT(C40,"0.0")&amp;"/"&amp;TEXT(E40,"0")&amp;" available points"</f>
        <v/>
      </c>
      <c r="E40">
        <f>SUMPRODUCT((B4:B36="Production Safety &amp; Operability")*C4:C36*(1-AA4:AA36))</f>
        <v/>
      </c>
    </row>
    <row r="41">
      <c r="A41" t="inlineStr">
        <is>
          <t>Developer Experience</t>
        </is>
      </c>
      <c r="C41">
        <f>SUMPRODUCT((B4:B36="Developer Experience")*C4:C36*AB4:AB36*(1-AA4:AA36))/5</f>
        <v/>
      </c>
      <c r="D41">
        <f>TEXT(C41,"0.0")&amp;"/"&amp;TEXT(E41,"0")&amp;" available points"</f>
        <v/>
      </c>
      <c r="E41">
        <f>SUMPRODUCT((B4:B36="Developer Experience")*C4:C36*(1-AA4:AA36))</f>
        <v/>
      </c>
    </row>
    <row r="42">
      <c r="A42" t="inlineStr">
        <is>
          <t>Reporting &amp; Extensibility</t>
        </is>
      </c>
      <c r="C42">
        <f>SUMPRODUCT((B4:B36="Reporting &amp; Extensibility")*C4:C36*AB4:AB36*(1-AA4:AA36))/5</f>
        <v/>
      </c>
      <c r="D42">
        <f>TEXT(C42,"0.0")&amp;"/"&amp;TEXT(E42,"0")&amp;" available points"</f>
        <v/>
      </c>
      <c r="E42">
        <f>SUMPRODUCT((B4:B36="Reporting &amp; Extensibility")*C4:C36*(1-AA4:AA36))</f>
        <v/>
      </c>
    </row>
    <row r="43">
      <c r="A43" t="inlineStr">
        <is>
          <t>Deployment &amp; Data Governance</t>
        </is>
      </c>
      <c r="C43">
        <f>SUMPRODUCT((B4:B36="Deployment &amp; Data Governance")*C4:C36*AB4:AB36*(1-AA4:AA36))/5</f>
        <v/>
      </c>
      <c r="D43">
        <f>TEXT(C43,"0.0")&amp;"/"&amp;TEXT(E43,"0")&amp;" available points"</f>
        <v/>
      </c>
      <c r="E43">
        <f>SUMPRODUCT((B4:B36="Deployment &amp; Data Governance")*C4:C36*(1-AA4:AA36))</f>
        <v/>
      </c>
    </row>
    <row r="44">
      <c r="A44" t="inlineStr">
        <is>
          <t>Weighted Total</t>
        </is>
      </c>
      <c r="C44">
        <f>SUMPRODUCT(C4:C36,AB4:AB36,(1-AA4:AA36))/5</f>
        <v/>
      </c>
      <c r="D44">
        <f>TEXT(C44,"0.0")&amp;"/"&amp;TEXT(E44,"0")&amp;" available points"</f>
        <v/>
      </c>
      <c r="E44">
        <f>SUMPRODUCT(C4:C36,(1-AA4:AA36))</f>
        <v/>
      </c>
    </row>
  </sheetData>
  <sheetProtection selectLockedCells="0" selectUnlockedCells="0" sheet="1" objects="0" insertRows="1" insertHyperlinks="1" autoFilter="1" scenarios="0" formatColumns="1" deleteColumns="1" insertColumns="1" pivotTables="1" deleteRows="1" formatCells="1" formatRows="1" sort="1"/>
  <mergeCells count="5">
    <mergeCell ref="G2:I2"/>
    <mergeCell ref="J2:L2"/>
    <mergeCell ref="P2:R2"/>
    <mergeCell ref="M2:O2"/>
    <mergeCell ref="S2:U2"/>
  </mergeCells>
  <conditionalFormatting sqref="G4">
    <cfRule type="cellIs" priority="1" operator="equal" dxfId="0">
      <formula>""</formula>
    </cfRule>
  </conditionalFormatting>
  <conditionalFormatting sqref="J4">
    <cfRule type="cellIs" priority="2" operator="equal" dxfId="0">
      <formula>""</formula>
    </cfRule>
  </conditionalFormatting>
  <conditionalFormatting sqref="M4">
    <cfRule type="cellIs" priority="3" operator="equal" dxfId="0">
      <formula>""</formula>
    </cfRule>
  </conditionalFormatting>
  <conditionalFormatting sqref="P4">
    <cfRule type="cellIs" priority="4" operator="equal" dxfId="0">
      <formula>""</formula>
    </cfRule>
  </conditionalFormatting>
  <conditionalFormatting sqref="S4">
    <cfRule type="cellIs" priority="5" operator="equal" dxfId="0">
      <formula>""</formula>
    </cfRule>
  </conditionalFormatting>
  <conditionalFormatting sqref="V4">
    <cfRule type="cellIs" priority="6" operator="equal" dxfId="0">
      <formula>""</formula>
    </cfRule>
  </conditionalFormatting>
  <conditionalFormatting sqref="G5">
    <cfRule type="cellIs" priority="7" operator="equal" dxfId="0">
      <formula>""</formula>
    </cfRule>
  </conditionalFormatting>
  <conditionalFormatting sqref="J5">
    <cfRule type="cellIs" priority="8" operator="equal" dxfId="0">
      <formula>""</formula>
    </cfRule>
  </conditionalFormatting>
  <conditionalFormatting sqref="M5">
    <cfRule type="cellIs" priority="9" operator="equal" dxfId="0">
      <formula>""</formula>
    </cfRule>
  </conditionalFormatting>
  <conditionalFormatting sqref="P5">
    <cfRule type="cellIs" priority="10" operator="equal" dxfId="0">
      <formula>""</formula>
    </cfRule>
  </conditionalFormatting>
  <conditionalFormatting sqref="S5">
    <cfRule type="cellIs" priority="11" operator="equal" dxfId="0">
      <formula>""</formula>
    </cfRule>
  </conditionalFormatting>
  <conditionalFormatting sqref="V5">
    <cfRule type="cellIs" priority="12" operator="equal" dxfId="0">
      <formula>""</formula>
    </cfRule>
  </conditionalFormatting>
  <conditionalFormatting sqref="G6">
    <cfRule type="cellIs" priority="13" operator="equal" dxfId="0">
      <formula>""</formula>
    </cfRule>
  </conditionalFormatting>
  <conditionalFormatting sqref="J6">
    <cfRule type="cellIs" priority="14" operator="equal" dxfId="0">
      <formula>""</formula>
    </cfRule>
  </conditionalFormatting>
  <conditionalFormatting sqref="M6">
    <cfRule type="cellIs" priority="15" operator="equal" dxfId="0">
      <formula>""</formula>
    </cfRule>
  </conditionalFormatting>
  <conditionalFormatting sqref="P6">
    <cfRule type="cellIs" priority="16" operator="equal" dxfId="0">
      <formula>""</formula>
    </cfRule>
  </conditionalFormatting>
  <conditionalFormatting sqref="S6">
    <cfRule type="cellIs" priority="17" operator="equal" dxfId="0">
      <formula>""</formula>
    </cfRule>
  </conditionalFormatting>
  <conditionalFormatting sqref="V6">
    <cfRule type="cellIs" priority="18" operator="equal" dxfId="0">
      <formula>""</formula>
    </cfRule>
  </conditionalFormatting>
  <conditionalFormatting sqref="G7">
    <cfRule type="cellIs" priority="19" operator="equal" dxfId="0">
      <formula>""</formula>
    </cfRule>
  </conditionalFormatting>
  <conditionalFormatting sqref="J7">
    <cfRule type="cellIs" priority="20" operator="equal" dxfId="0">
      <formula>""</formula>
    </cfRule>
  </conditionalFormatting>
  <conditionalFormatting sqref="M7">
    <cfRule type="cellIs" priority="21" operator="equal" dxfId="0">
      <formula>""</formula>
    </cfRule>
  </conditionalFormatting>
  <conditionalFormatting sqref="P7">
    <cfRule type="cellIs" priority="22" operator="equal" dxfId="0">
      <formula>""</formula>
    </cfRule>
  </conditionalFormatting>
  <conditionalFormatting sqref="S7">
    <cfRule type="cellIs" priority="23" operator="equal" dxfId="0">
      <formula>""</formula>
    </cfRule>
  </conditionalFormatting>
  <conditionalFormatting sqref="V7">
    <cfRule type="cellIs" priority="24" operator="equal" dxfId="0">
      <formula>""</formula>
    </cfRule>
  </conditionalFormatting>
  <conditionalFormatting sqref="G8">
    <cfRule type="cellIs" priority="25" operator="equal" dxfId="0">
      <formula>""</formula>
    </cfRule>
  </conditionalFormatting>
  <conditionalFormatting sqref="J8">
    <cfRule type="cellIs" priority="26" operator="equal" dxfId="0">
      <formula>""</formula>
    </cfRule>
  </conditionalFormatting>
  <conditionalFormatting sqref="M8">
    <cfRule type="cellIs" priority="27" operator="equal" dxfId="0">
      <formula>""</formula>
    </cfRule>
  </conditionalFormatting>
  <conditionalFormatting sqref="P8">
    <cfRule type="cellIs" priority="28" operator="equal" dxfId="0">
      <formula>""</formula>
    </cfRule>
  </conditionalFormatting>
  <conditionalFormatting sqref="S8">
    <cfRule type="cellIs" priority="29" operator="equal" dxfId="0">
      <formula>""</formula>
    </cfRule>
  </conditionalFormatting>
  <conditionalFormatting sqref="V8">
    <cfRule type="cellIs" priority="30" operator="equal" dxfId="0">
      <formula>""</formula>
    </cfRule>
  </conditionalFormatting>
  <conditionalFormatting sqref="G9">
    <cfRule type="cellIs" priority="31" operator="equal" dxfId="0">
      <formula>""</formula>
    </cfRule>
  </conditionalFormatting>
  <conditionalFormatting sqref="J9">
    <cfRule type="cellIs" priority="32" operator="equal" dxfId="0">
      <formula>""</formula>
    </cfRule>
  </conditionalFormatting>
  <conditionalFormatting sqref="M9">
    <cfRule type="cellIs" priority="33" operator="equal" dxfId="0">
      <formula>""</formula>
    </cfRule>
  </conditionalFormatting>
  <conditionalFormatting sqref="P9">
    <cfRule type="cellIs" priority="34" operator="equal" dxfId="0">
      <formula>""</formula>
    </cfRule>
  </conditionalFormatting>
  <conditionalFormatting sqref="S9">
    <cfRule type="cellIs" priority="35" operator="equal" dxfId="0">
      <formula>""</formula>
    </cfRule>
  </conditionalFormatting>
  <conditionalFormatting sqref="V9">
    <cfRule type="cellIs" priority="36" operator="equal" dxfId="0">
      <formula>""</formula>
    </cfRule>
  </conditionalFormatting>
  <conditionalFormatting sqref="G10">
    <cfRule type="cellIs" priority="37" operator="equal" dxfId="0">
      <formula>""</formula>
    </cfRule>
  </conditionalFormatting>
  <conditionalFormatting sqref="J10">
    <cfRule type="cellIs" priority="38" operator="equal" dxfId="0">
      <formula>""</formula>
    </cfRule>
  </conditionalFormatting>
  <conditionalFormatting sqref="M10">
    <cfRule type="cellIs" priority="39" operator="equal" dxfId="0">
      <formula>""</formula>
    </cfRule>
  </conditionalFormatting>
  <conditionalFormatting sqref="P10">
    <cfRule type="cellIs" priority="40" operator="equal" dxfId="0">
      <formula>""</formula>
    </cfRule>
  </conditionalFormatting>
  <conditionalFormatting sqref="S10">
    <cfRule type="cellIs" priority="41" operator="equal" dxfId="0">
      <formula>""</formula>
    </cfRule>
  </conditionalFormatting>
  <conditionalFormatting sqref="V10">
    <cfRule type="cellIs" priority="42" operator="equal" dxfId="0">
      <formula>""</formula>
    </cfRule>
  </conditionalFormatting>
  <conditionalFormatting sqref="G11">
    <cfRule type="cellIs" priority="43" operator="equal" dxfId="0">
      <formula>""</formula>
    </cfRule>
  </conditionalFormatting>
  <conditionalFormatting sqref="J11">
    <cfRule type="cellIs" priority="44" operator="equal" dxfId="0">
      <formula>""</formula>
    </cfRule>
  </conditionalFormatting>
  <conditionalFormatting sqref="M11">
    <cfRule type="cellIs" priority="45" operator="equal" dxfId="0">
      <formula>""</formula>
    </cfRule>
  </conditionalFormatting>
  <conditionalFormatting sqref="P11">
    <cfRule type="cellIs" priority="46" operator="equal" dxfId="0">
      <formula>""</formula>
    </cfRule>
  </conditionalFormatting>
  <conditionalFormatting sqref="S11">
    <cfRule type="cellIs" priority="47" operator="equal" dxfId="0">
      <formula>""</formula>
    </cfRule>
  </conditionalFormatting>
  <conditionalFormatting sqref="V11">
    <cfRule type="cellIs" priority="48" operator="equal" dxfId="0">
      <formula>""</formula>
    </cfRule>
  </conditionalFormatting>
  <conditionalFormatting sqref="G12">
    <cfRule type="cellIs" priority="49" operator="equal" dxfId="0">
      <formula>""</formula>
    </cfRule>
  </conditionalFormatting>
  <conditionalFormatting sqref="J12">
    <cfRule type="cellIs" priority="50" operator="equal" dxfId="0">
      <formula>""</formula>
    </cfRule>
  </conditionalFormatting>
  <conditionalFormatting sqref="M12">
    <cfRule type="cellIs" priority="51" operator="equal" dxfId="0">
      <formula>""</formula>
    </cfRule>
  </conditionalFormatting>
  <conditionalFormatting sqref="P12">
    <cfRule type="cellIs" priority="52" operator="equal" dxfId="0">
      <formula>""</formula>
    </cfRule>
  </conditionalFormatting>
  <conditionalFormatting sqref="S12">
    <cfRule type="cellIs" priority="53" operator="equal" dxfId="0">
      <formula>""</formula>
    </cfRule>
  </conditionalFormatting>
  <conditionalFormatting sqref="V12">
    <cfRule type="cellIs" priority="54" operator="equal" dxfId="0">
      <formula>""</formula>
    </cfRule>
  </conditionalFormatting>
  <conditionalFormatting sqref="G13">
    <cfRule type="cellIs" priority="55" operator="equal" dxfId="0">
      <formula>""</formula>
    </cfRule>
  </conditionalFormatting>
  <conditionalFormatting sqref="J13">
    <cfRule type="cellIs" priority="56" operator="equal" dxfId="0">
      <formula>""</formula>
    </cfRule>
  </conditionalFormatting>
  <conditionalFormatting sqref="M13">
    <cfRule type="cellIs" priority="57" operator="equal" dxfId="0">
      <formula>""</formula>
    </cfRule>
  </conditionalFormatting>
  <conditionalFormatting sqref="P13">
    <cfRule type="cellIs" priority="58" operator="equal" dxfId="0">
      <formula>""</formula>
    </cfRule>
  </conditionalFormatting>
  <conditionalFormatting sqref="S13">
    <cfRule type="cellIs" priority="59" operator="equal" dxfId="0">
      <formula>""</formula>
    </cfRule>
  </conditionalFormatting>
  <conditionalFormatting sqref="V13">
    <cfRule type="cellIs" priority="60" operator="equal" dxfId="0">
      <formula>""</formula>
    </cfRule>
  </conditionalFormatting>
  <dataValidations count="2">
    <dataValidation sqref="G4 G5 G6 G7 G8 G9 G10 G11 G12 G13 G14 G15 G16 G17 G18 G19 G20 G21 G22 G23 G24 G25 G26 G27 G28 G29 G30 G31 G32 G33 G34 G35 G36 J4 J5 J6 J7 J8 J9 J10 J11 J12 J13 J14 J15 J16 J17 J18 J19 J20 J21 J22 J23 J24 J25 J26 J27 J28 J29 J30 J31 J32 J33 J34 J35 J36 M4 M5 M6 M7 M8 M9 M10 M11 M12 M13 M14 M15 M16 M17 M18 M19 M20 M21 M22 M23 M24 M25 M26 M27 M28 M29 M30 M31 M32 M33 M34 M35 M36 P4 P5 P6 P7 P8 P9 P10 P11 P12 P13 P14 P15 P16 P17 P18 P19 P20 P21 P22 P23 P24 P25 P26 P27 P28 P29 P30 P31 P32 P33 P34 P35 P36 S4 S5 S6 S7 S8 S9 S10 S11 S12 S13 S14 S15 S16 S17 S18 S19 S20 S21 S22 S23 S24 S25 S26 S27 S28 S29 S30 S31 S32 S33 S34 S35 S36 V4 V5 V6 V7 V8 V9 V10 V11 V12 V13 V14 V15 V16 V17 V18 V19 V20 V21 V22 V23 V24 V25 V26 V27 V28 V29 V30 V31 V32 V33 V34 V35 V36" showDropDown="0" showInputMessage="0" showErrorMessage="1" allowBlank="1" errorTitle="Invalid score" error="Score must be one of: 1.0, 1.5, 2.0, 2.5, 3.0, 3.5, 4.0, 4.5, 5.0" type="list" errorStyle="stop">
      <formula1>"1.0,1.5,2.0,2.5,3.0,3.5,4.0,4.5,5.0"</formula1>
    </dataValidation>
    <dataValidation sqref="H4 H5 H6 H7 H8 H9 H10 H11 H12 H13 H14 H15 H16 H17 H18 H19 H20 H21 H22 H23 H24 H25 H26 H27 H28 H29 H30 H31 H32 H33 H34 H35 H36 K4 K5 K6 K7 K8 K9 K10 K11 K12 K13 K14 K15 K16 K17 K18 K19 K20 K21 K22 K23 K24 K25 K26 K27 K28 K29 K30 K31 K32 K33 K34 K35 K36 N4 N5 N6 N7 N8 N9 N10 N11 N12 N13 N14 N15 N16 N17 N18 N19 N20 N21 N22 N23 N24 N25 N26 N27 N28 N29 N30 N31 N32 N33 N34 N35 N36 Q4 Q5 Q6 Q7 Q8 Q9 Q10 Q11 Q12 Q13 Q14 Q15 Q16 Q17 Q18 Q19 Q20 Q21 Q22 Q23 Q24 Q25 Q26 Q27 Q28 Q29 Q30 Q31 Q32 Q33 Q34 Q35 Q36 T4 T5 T6 T7 T8 T9 T10 T11 T12 T13 T14 T15 T16 T17 T18 T19 T20 T21 T22 T23 T24 T25 T26 T27 T28 T29 T30 T31 T32 T33 T34 T35 T36" showDropDown="0" showInputMessage="0" showErrorMessage="1" allowBlank="1" errorTitle="Invalid entry" error="Value must be &quot;Yes&quot; (or left blank)." type="list" errorStyle="stop">
      <formula1>"Yes"</formula1>
    </dataValidation>
  </dataValidation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3" r:id="rId8"/>
    <hyperlink xmlns:r="http://schemas.openxmlformats.org/officeDocument/2006/relationships" ref="E14" r:id="rId9"/>
    <hyperlink xmlns:r="http://schemas.openxmlformats.org/officeDocument/2006/relationships" ref="E15" r:id="rId10"/>
    <hyperlink xmlns:r="http://schemas.openxmlformats.org/officeDocument/2006/relationships" ref="E16" r:id="rId11"/>
    <hyperlink xmlns:r="http://schemas.openxmlformats.org/officeDocument/2006/relationships" ref="E17" r:id="rId12"/>
    <hyperlink xmlns:r="http://schemas.openxmlformats.org/officeDocument/2006/relationships" ref="E18" r:id="rId13"/>
    <hyperlink xmlns:r="http://schemas.openxmlformats.org/officeDocument/2006/relationships" ref="E19" r:id="rId14"/>
    <hyperlink xmlns:r="http://schemas.openxmlformats.org/officeDocument/2006/relationships" ref="E20" r:id="rId15"/>
    <hyperlink xmlns:r="http://schemas.openxmlformats.org/officeDocument/2006/relationships" ref="E21" r:id="rId16"/>
    <hyperlink xmlns:r="http://schemas.openxmlformats.org/officeDocument/2006/relationships" ref="E22" r:id="rId17"/>
    <hyperlink xmlns:r="http://schemas.openxmlformats.org/officeDocument/2006/relationships" ref="E23" r:id="rId18"/>
    <hyperlink xmlns:r="http://schemas.openxmlformats.org/officeDocument/2006/relationships" ref="E24" r:id="rId19"/>
    <hyperlink xmlns:r="http://schemas.openxmlformats.org/officeDocument/2006/relationships" ref="E25" r:id="rId20"/>
    <hyperlink xmlns:r="http://schemas.openxmlformats.org/officeDocument/2006/relationships" ref="E26" r:id="rId21"/>
    <hyperlink xmlns:r="http://schemas.openxmlformats.org/officeDocument/2006/relationships" ref="E27" r:id="rId22"/>
    <hyperlink xmlns:r="http://schemas.openxmlformats.org/officeDocument/2006/relationships" ref="E28" r:id="rId23"/>
    <hyperlink xmlns:r="http://schemas.openxmlformats.org/officeDocument/2006/relationships" ref="E29" r:id="rId24"/>
    <hyperlink xmlns:r="http://schemas.openxmlformats.org/officeDocument/2006/relationships" ref="E30" r:id="rId25"/>
    <hyperlink xmlns:r="http://schemas.openxmlformats.org/officeDocument/2006/relationships" ref="E31" r:id="rId26"/>
    <hyperlink xmlns:r="http://schemas.openxmlformats.org/officeDocument/2006/relationships" ref="E32" r:id="rId27"/>
    <hyperlink xmlns:r="http://schemas.openxmlformats.org/officeDocument/2006/relationships" ref="E33" r:id="rId28"/>
    <hyperlink xmlns:r="http://schemas.openxmlformats.org/officeDocument/2006/relationships" ref="E34" r:id="rId29"/>
    <hyperlink xmlns:r="http://schemas.openxmlformats.org/officeDocument/2006/relationships" ref="E35" r:id="rId30"/>
    <hyperlink xmlns:r="http://schemas.openxmlformats.org/officeDocument/2006/relationships" ref="E36" r:id="rId31"/>
  </hyperlinks>
  <pageMargins left="0.75" right="0.75" top="1" bottom="1" header="0.5" footer="0.5"/>
</worksheet>
</file>

<file path=xl/worksheets/sheet10.xml><?xml version="1.0" encoding="utf-8"?>
<worksheet xmlns="http://schemas.openxmlformats.org/spreadsheetml/2006/main">
  <sheetPr>
    <tabColor rgb="00A23B72"/>
    <outlinePr summaryBelow="1" summaryRight="1"/>
    <pageSetUpPr/>
  </sheetPr>
  <dimension ref="A1:AB44"/>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0" customWidth="1" min="3" max="3"/>
    <col width="14" customWidth="1" min="4" max="4"/>
    <col width="45" customWidth="1" min="5" max="5"/>
    <col width="16" customWidth="1" min="6" max="6"/>
    <col width="12" customWidth="1" min="7" max="7"/>
    <col width="12" customWidth="1" min="8" max="8"/>
    <col width="40" customWidth="1" min="9" max="9"/>
    <col width="12" customWidth="1" min="10" max="10"/>
    <col width="12" customWidth="1" min="11" max="11"/>
    <col width="40" customWidth="1" min="12" max="12"/>
    <col width="12" customWidth="1" min="13" max="13"/>
    <col width="12" customWidth="1" min="14" max="14"/>
    <col width="40" customWidth="1" min="15" max="15"/>
    <col width="12" customWidth="1" min="16" max="16"/>
    <col width="12" customWidth="1" min="17" max="17"/>
    <col width="40" customWidth="1" min="18" max="18"/>
    <col width="12" customWidth="1" min="19" max="19"/>
    <col width="12" customWidth="1" min="20" max="20"/>
    <col width="40" customWidth="1" min="21" max="21"/>
    <col width="14" customWidth="1" min="22" max="22"/>
    <col width="16" customWidth="1" min="23" max="23"/>
    <col width="18" customWidth="1" min="24" max="24"/>
    <col width="14" customWidth="1" min="25" max="25"/>
    <col hidden="1" width="13" customWidth="1" min="26" max="26"/>
    <col hidden="1" width="13" customWidth="1" min="27" max="27"/>
    <col hidden="1" width="13" customWidth="1" min="28" max="28"/>
  </cols>
  <sheetData>
    <row r="1" ht="28" customHeight="1">
      <c r="A1" s="1" t="inlineStr">
        <is>
          <t>Rapid7 InsightAppSec</t>
        </is>
      </c>
    </row>
    <row r="2" ht="24" customHeight="1">
      <c r="G2" s="3">
        <f>IF(Reviewers!B6="","Unassigned — see Reviewers tab",Reviewers!B6&amp;" - "&amp;Reviewers!C6)</f>
        <v/>
      </c>
      <c r="J2" s="3">
        <f>IF(Reviewers!B7="","Unassigned — see Reviewers tab",Reviewers!B7&amp;" - "&amp;Reviewers!C7)</f>
        <v/>
      </c>
      <c r="M2" s="3">
        <f>IF(Reviewers!B8="","Unassigned — see Reviewers tab",Reviewers!B8&amp;" - "&amp;Reviewers!C8)</f>
        <v/>
      </c>
      <c r="P2" s="3">
        <f>IF(Reviewers!B9="","Unassigned — see Reviewers tab",Reviewers!B9&amp;" - "&amp;Reviewers!C9)</f>
        <v/>
      </c>
      <c r="S2" s="3">
        <f>IF(Reviewers!B10="","Unassigned — see Reviewers tab",Reviewers!B10&amp;" - "&amp;Reviewers!C10)</f>
        <v/>
      </c>
    </row>
    <row r="3" ht="36" customHeight="1">
      <c r="A3" s="3" t="inlineStr">
        <is>
          <t>Criterion</t>
        </is>
      </c>
      <c r="B3" s="3" t="inlineStr">
        <is>
          <t>Category</t>
        </is>
      </c>
      <c r="C3" s="3" t="inlineStr">
        <is>
          <t>Weight</t>
        </is>
      </c>
      <c r="D3" s="3" t="inlineStr">
        <is>
          <t>Automated Score</t>
        </is>
      </c>
      <c r="E3" s="3" t="inlineStr">
        <is>
          <t>Automated Evidence</t>
        </is>
      </c>
      <c r="F3" s="3" t="inlineStr">
        <is>
          <t>Automated Confidence</t>
        </is>
      </c>
      <c r="G3" s="3" t="inlineStr">
        <is>
          <t>Score</t>
        </is>
      </c>
      <c r="H3" s="3" t="inlineStr">
        <is>
          <t>Dispute?</t>
        </is>
      </c>
      <c r="I3" s="3" t="inlineStr">
        <is>
          <t>Rationale</t>
        </is>
      </c>
      <c r="J3" s="3" t="inlineStr">
        <is>
          <t>Score</t>
        </is>
      </c>
      <c r="K3" s="3" t="inlineStr">
        <is>
          <t>Dispute?</t>
        </is>
      </c>
      <c r="L3" s="3" t="inlineStr">
        <is>
          <t>Rationale</t>
        </is>
      </c>
      <c r="M3" s="3" t="inlineStr">
        <is>
          <t>Score</t>
        </is>
      </c>
      <c r="N3" s="3" t="inlineStr">
        <is>
          <t>Dispute?</t>
        </is>
      </c>
      <c r="O3" s="3" t="inlineStr">
        <is>
          <t>Rationale</t>
        </is>
      </c>
      <c r="P3" s="3" t="inlineStr">
        <is>
          <t>Score</t>
        </is>
      </c>
      <c r="Q3" s="3" t="inlineStr">
        <is>
          <t>Dispute?</t>
        </is>
      </c>
      <c r="R3" s="3" t="inlineStr">
        <is>
          <t>Rationale</t>
        </is>
      </c>
      <c r="S3" s="3" t="inlineStr">
        <is>
          <t>Score</t>
        </is>
      </c>
      <c r="T3" s="3" t="inlineStr">
        <is>
          <t>Dispute?</t>
        </is>
      </c>
      <c r="U3" s="3" t="inlineStr">
        <is>
          <t>Rationale</t>
        </is>
      </c>
      <c r="V3" s="3" t="inlineStr">
        <is>
          <t>Resolved Score</t>
        </is>
      </c>
      <c r="W3" s="3" t="inlineStr">
        <is>
          <t>Resolved By</t>
        </is>
      </c>
      <c r="X3" s="3" t="inlineStr">
        <is>
          <t>Resolved Timestamp</t>
        </is>
      </c>
      <c r="Y3" s="3" t="inlineStr">
        <is>
          <t>Automated vs. Resolved Delta</t>
        </is>
      </c>
      <c r="Z3" s="3" t="inlineStr">
        <is>
          <t>_criterion_id</t>
        </is>
      </c>
      <c r="AA3" s="3" t="inlineStr">
        <is>
          <t>_pending</t>
        </is>
      </c>
      <c r="AB3" s="3" t="inlineStr">
        <is>
          <t>_effective_score</t>
        </is>
      </c>
    </row>
    <row r="4">
      <c r="A4" s="11" t="inlineStr">
        <is>
          <t>Detection Accuracy</t>
        </is>
      </c>
      <c r="B4" s="11" t="inlineStr">
        <is>
          <t>Detection Quality</t>
        </is>
      </c>
      <c r="C4" s="6" t="n">
        <v>7</v>
      </c>
      <c r="D4" s="6" t="n">
        <v>3</v>
      </c>
      <c r="E4" s="12" t="inlineStr">
        <is>
          <r>
            <t xml:space="preserve">No credible independent benchmark found either direction after gap-check; the widely-circulated '94% false positive' figure (see false-positive-rate) is not a valid accuracy signal. Scored on general platform claims (signature-based detection, Universal Translator for modern frameworks) absent contrary evidence. Source: </t>
          </r>
          <r>
            <rPr>
              <color rgb="000563C1"/>
              <u val="single"/>
            </rPr>
            <t>peerspot.com/products/rapid7-insightappsec-reviews</t>
          </r>
          <r>
            <t xml:space="preserve"> (general platform reviews checked; no credible independent accuracy benchmark found there)</t>
          </r>
        </is>
      </c>
      <c r="F4" s="11" t="inlineStr">
        <is>
          <t>paper</t>
        </is>
      </c>
      <c r="G4" s="13" t="n"/>
      <c r="H4" s="14" t="n"/>
      <c r="I4" s="15" t="n"/>
      <c r="J4" s="13" t="n"/>
      <c r="K4" s="14" t="n"/>
      <c r="L4" s="15" t="n"/>
      <c r="M4" s="13" t="n"/>
      <c r="N4" s="14" t="n"/>
      <c r="O4" s="15" t="n"/>
      <c r="P4" s="13" t="n"/>
      <c r="Q4" s="14" t="n"/>
      <c r="R4" s="15" t="n"/>
      <c r="S4" s="13" t="n"/>
      <c r="T4" s="14" t="n"/>
      <c r="U4" s="15" t="n"/>
      <c r="V4" s="13" t="n"/>
      <c r="W4" s="14" t="n"/>
      <c r="X4" s="14" t="n"/>
      <c r="Y4" s="6">
        <f>IF(ISBLANK(V4),"",V4-D4)</f>
        <v/>
      </c>
      <c r="Z4" t="inlineStr">
        <is>
          <t>detection-accuracy</t>
        </is>
      </c>
      <c r="AA4" t="n">
        <v>0</v>
      </c>
      <c r="AB4">
        <f>IF(ISBLANK(V4),D4,V4)</f>
        <v/>
      </c>
    </row>
    <row r="5">
      <c r="A5" s="16" t="inlineStr">
        <is>
          <t>Authentication &amp; Session Handling</t>
        </is>
      </c>
      <c r="B5" s="16" t="inlineStr">
        <is>
          <t>Coverage</t>
        </is>
      </c>
      <c r="C5" s="17" t="n">
        <v>6</v>
      </c>
      <c r="D5" s="17" t="n">
        <v>4.5</v>
      </c>
      <c r="E5" s="18" t="inlineStr">
        <is>
          <r>
            <t xml:space="preserve">Automated Login auto-detects login pages and re-authenticates on logout; Macro and Selenium recorded scripted login for complex flows; TOTP MFA support; logout/session detection via regex. Source: </t>
          </r>
          <r>
            <rPr>
              <color rgb="000563C1"/>
              <u val="single"/>
            </rPr>
            <t>docs.rapid7.com/insightappsec/authentication</t>
          </r>
        </is>
      </c>
      <c r="F5" s="16" t="inlineStr">
        <is>
          <t>paper</t>
        </is>
      </c>
      <c r="G5" s="19" t="n"/>
      <c r="H5" s="20" t="n"/>
      <c r="I5" s="21" t="n"/>
      <c r="J5" s="19" t="n"/>
      <c r="K5" s="20" t="n"/>
      <c r="L5" s="21" t="n"/>
      <c r="M5" s="19" t="n"/>
      <c r="N5" s="20" t="n"/>
      <c r="O5" s="21" t="n"/>
      <c r="P5" s="19" t="n"/>
      <c r="Q5" s="20" t="n"/>
      <c r="R5" s="21" t="n"/>
      <c r="S5" s="19" t="n"/>
      <c r="T5" s="20" t="n"/>
      <c r="U5" s="21" t="n"/>
      <c r="V5" s="19" t="n"/>
      <c r="W5" s="20" t="n"/>
      <c r="X5" s="20" t="n"/>
      <c r="Y5" s="17">
        <f>IF(ISBLANK(V5),"",V5-D5)</f>
        <v/>
      </c>
      <c r="Z5" s="22" t="inlineStr">
        <is>
          <t>auth-session-handling</t>
        </is>
      </c>
      <c r="AA5" s="22" t="n">
        <v>0</v>
      </c>
      <c r="AB5" s="22">
        <f>IF(ISBLANK(V5),D5,V5)</f>
        <v/>
      </c>
    </row>
    <row r="6">
      <c r="A6" s="11" t="inlineStr">
        <is>
          <t>Safe Production Scanning</t>
        </is>
      </c>
      <c r="B6" s="11" t="inlineStr">
        <is>
          <t>Production Safety &amp; Operability</t>
        </is>
      </c>
      <c r="C6" s="6" t="n">
        <v>6</v>
      </c>
      <c r="D6" s="6" t="n">
        <v>4.5</v>
      </c>
      <c r="E6" s="12" t="inlineStr">
        <is>
          <r>
            <t xml:space="preserve">Scan blackout periods, flexible low-traffic-window scheduling, configurable scan-scope rate limits, and a dedicated passive attack module for sensitive-data-exposure issues. Source: </t>
          </r>
          <r>
            <rPr>
              <color rgb="000563C1"/>
              <u val="single"/>
            </rPr>
            <t>rapid7.com/products/insightappsec</t>
          </r>
          <r>
            <t>, docs.rapid7.com scan-scope docs</t>
          </r>
        </is>
      </c>
      <c r="F6" s="11" t="inlineStr">
        <is>
          <t>paper</t>
        </is>
      </c>
      <c r="G6" s="13" t="n"/>
      <c r="H6" s="14" t="n"/>
      <c r="I6" s="15" t="n"/>
      <c r="J6" s="13" t="n"/>
      <c r="K6" s="14" t="n"/>
      <c r="L6" s="15" t="n"/>
      <c r="M6" s="13" t="n"/>
      <c r="N6" s="14" t="n"/>
      <c r="O6" s="15" t="n"/>
      <c r="P6" s="13" t="n"/>
      <c r="Q6" s="14" t="n"/>
      <c r="R6" s="15" t="n"/>
      <c r="S6" s="13" t="n"/>
      <c r="T6" s="14" t="n"/>
      <c r="U6" s="15" t="n"/>
      <c r="V6" s="13" t="n"/>
      <c r="W6" s="14" t="n"/>
      <c r="X6" s="14" t="n"/>
      <c r="Y6" s="6">
        <f>IF(ISBLANK(V6),"",V6-D6)</f>
        <v/>
      </c>
      <c r="Z6" t="inlineStr">
        <is>
          <t>safe-prod-scanning</t>
        </is>
      </c>
      <c r="AA6" t="n">
        <v>0</v>
      </c>
      <c r="AB6">
        <f>IF(ISBLANK(V6),D6,V6)</f>
        <v/>
      </c>
    </row>
    <row r="7">
      <c r="A7" s="16" t="inlineStr">
        <is>
          <t>API/SPA Coverage</t>
        </is>
      </c>
      <c r="B7" s="16" t="inlineStr">
        <is>
          <t>Coverage</t>
        </is>
      </c>
      <c r="C7" s="17" t="n">
        <v>5</v>
      </c>
      <c r="D7" s="17" t="n">
        <v>3.5</v>
      </c>
      <c r="E7" s="18" t="inlineStr">
        <is>
          <r>
            <t xml:space="preserve">REST/SOAP (WSDL upload) and GraphQL (schema parsing + attack template) confirmed; one comparative source claims 'limited or no native support for GraphQL and gRPC,' directly conflicting with Rapid7's own GraphQL docs -- both cited. Source: </t>
          </r>
          <r>
            <rPr>
              <color rgb="000563C1"/>
              <u val="single"/>
            </rPr>
            <t>docs.rapid7.com/insightappsec/graphql</t>
          </r>
        </is>
      </c>
      <c r="F7" s="16" t="inlineStr">
        <is>
          <t>paper</t>
        </is>
      </c>
      <c r="G7" s="19" t="n"/>
      <c r="H7" s="20" t="n"/>
      <c r="I7" s="21" t="n"/>
      <c r="J7" s="19" t="n"/>
      <c r="K7" s="20" t="n"/>
      <c r="L7" s="21" t="n"/>
      <c r="M7" s="19" t="n"/>
      <c r="N7" s="20" t="n"/>
      <c r="O7" s="21" t="n"/>
      <c r="P7" s="19" t="n"/>
      <c r="Q7" s="20" t="n"/>
      <c r="R7" s="21" t="n"/>
      <c r="S7" s="19" t="n"/>
      <c r="T7" s="20" t="n"/>
      <c r="U7" s="21" t="n"/>
      <c r="V7" s="19" t="n"/>
      <c r="W7" s="20" t="n"/>
      <c r="X7" s="20" t="n"/>
      <c r="Y7" s="17">
        <f>IF(ISBLANK(V7),"",V7-D7)</f>
        <v/>
      </c>
      <c r="Z7" s="22" t="inlineStr">
        <is>
          <t>api-spa-coverage</t>
        </is>
      </c>
      <c r="AA7" s="22" t="n">
        <v>0</v>
      </c>
      <c r="AB7" s="22">
        <f>IF(ISBLANK(V7),D7,V7)</f>
        <v/>
      </c>
    </row>
    <row r="8">
      <c r="A8" s="11" t="inlineStr">
        <is>
          <t>CI/CD-Native Fit</t>
        </is>
      </c>
      <c r="B8" s="11" t="inlineStr">
        <is>
          <t>Production Safety &amp; Operability</t>
        </is>
      </c>
      <c r="C8" s="6" t="n">
        <v>5</v>
      </c>
      <c r="D8" s="6" t="n">
        <v>4.5</v>
      </c>
      <c r="E8" s="12" t="inlineStr">
        <is>
          <r>
            <t xml:space="preserve">Native Jenkins plugin with explicit build-advance gating on a vulnerability-severity query (e.g. </t>
          </r>
          <r>
            <rPr>
              <color rgb="000563C1"/>
              <u val="single"/>
            </rPr>
            <t>vulnerability.severity</t>
          </r>
          <r>
            <t>='HIGH'), plus a GitHub Actions marketplace action. Source: docs.rapid7.com/insightappsec/jenkins-integration</t>
          </r>
        </is>
      </c>
      <c r="F8" s="11" t="inlineStr">
        <is>
          <t>paper</t>
        </is>
      </c>
      <c r="G8" s="13" t="n"/>
      <c r="H8" s="14" t="n"/>
      <c r="I8" s="15" t="n"/>
      <c r="J8" s="13" t="n"/>
      <c r="K8" s="14" t="n"/>
      <c r="L8" s="15" t="n"/>
      <c r="M8" s="13" t="n"/>
      <c r="N8" s="14" t="n"/>
      <c r="O8" s="15" t="n"/>
      <c r="P8" s="13" t="n"/>
      <c r="Q8" s="14" t="n"/>
      <c r="R8" s="15" t="n"/>
      <c r="S8" s="13" t="n"/>
      <c r="T8" s="14" t="n"/>
      <c r="U8" s="15" t="n"/>
      <c r="V8" s="13" t="n"/>
      <c r="W8" s="14" t="n"/>
      <c r="X8" s="14" t="n"/>
      <c r="Y8" s="6">
        <f>IF(ISBLANK(V8),"",V8-D8)</f>
        <v/>
      </c>
      <c r="Z8" t="inlineStr">
        <is>
          <t>cicd-native-fit</t>
        </is>
      </c>
      <c r="AA8" t="n">
        <v>0</v>
      </c>
      <c r="AB8">
        <f>IF(ISBLANK(V8),D8,V8)</f>
        <v/>
      </c>
    </row>
    <row r="9">
      <c r="A9" s="16" t="inlineStr">
        <is>
          <t>Deployment Model &amp; Data Residency</t>
        </is>
      </c>
      <c r="B9" s="16" t="inlineStr">
        <is>
          <t>Deployment &amp; Data Governance</t>
        </is>
      </c>
      <c r="C9" s="17" t="n">
        <v>5</v>
      </c>
      <c r="D9" s="17" t="n">
        <v>3</v>
      </c>
      <c r="E9" s="18" t="inlineStr">
        <is>
          <r>
            <t xml:space="preserve">On-prem scan engines report to a centralized cloud console (hybrid execution model) for internal-only apps, but the console/platform itself is SaaS-only -- no full on-prem or air-gapped option like Checkmarx/HCL. Source: </t>
          </r>
          <r>
            <rPr>
              <color rgb="000563C1"/>
              <u val="single"/>
            </rPr>
            <t>docs.rapid7.com/insightappsec/setting-up-an-on-premise-scan-engine</t>
          </r>
        </is>
      </c>
      <c r="F9" s="16" t="inlineStr">
        <is>
          <t>paper</t>
        </is>
      </c>
      <c r="G9" s="19" t="n"/>
      <c r="H9" s="20" t="n"/>
      <c r="I9" s="21" t="n"/>
      <c r="J9" s="19" t="n"/>
      <c r="K9" s="20" t="n"/>
      <c r="L9" s="21" t="n"/>
      <c r="M9" s="19" t="n"/>
      <c r="N9" s="20" t="n"/>
      <c r="O9" s="21" t="n"/>
      <c r="P9" s="19" t="n"/>
      <c r="Q9" s="20" t="n"/>
      <c r="R9" s="21" t="n"/>
      <c r="S9" s="19" t="n"/>
      <c r="T9" s="20" t="n"/>
      <c r="U9" s="21" t="n"/>
      <c r="V9" s="19" t="n"/>
      <c r="W9" s="20" t="n"/>
      <c r="X9" s="20" t="n"/>
      <c r="Y9" s="17">
        <f>IF(ISBLANK(V9),"",V9-D9)</f>
        <v/>
      </c>
      <c r="Z9" s="22" t="inlineStr">
        <is>
          <t>deployment-model-data-residency</t>
        </is>
      </c>
      <c r="AA9" s="22" t="n">
        <v>0</v>
      </c>
      <c r="AB9" s="22">
        <f>IF(ISBLANK(V9),D9,V9)</f>
        <v/>
      </c>
    </row>
    <row r="10">
      <c r="A10" s="11" t="inlineStr">
        <is>
          <t>Legacy Application &amp; Protocol Support</t>
        </is>
      </c>
      <c r="B10" s="11" t="inlineStr">
        <is>
          <t>Coverage</t>
        </is>
      </c>
      <c r="C10" s="6" t="n">
        <v>5</v>
      </c>
      <c r="D10" s="6" t="n">
        <v>3</v>
      </c>
      <c r="E10" s="12" t="inlineStr">
        <is>
          <r>
            <t xml:space="preserve">SOAP via WSDL upload confirmed, but no </t>
          </r>
          <r>
            <rPr>
              <color rgb="000563C1"/>
              <u val="single"/>
            </rPr>
            <t>ASP.NET</t>
          </r>
          <r>
            <t xml:space="preserve"> WebForms/JSP/mainframe-gateway-specific claims found; product positioning skews modern-API/cloud (Universal Translator for React/Angular/Vue) rather than legacy-framework-specific, weaker legacy story than Checkmarx/HCL. Source: docs.rapid7.com/insightappsec/scan-scope</t>
          </r>
        </is>
      </c>
      <c r="F10" s="11" t="inlineStr">
        <is>
          <t>paper</t>
        </is>
      </c>
      <c r="G10" s="13" t="n"/>
      <c r="H10" s="14" t="n"/>
      <c r="I10" s="15" t="n"/>
      <c r="J10" s="13" t="n"/>
      <c r="K10" s="14" t="n"/>
      <c r="L10" s="15" t="n"/>
      <c r="M10" s="13" t="n"/>
      <c r="N10" s="14" t="n"/>
      <c r="O10" s="15" t="n"/>
      <c r="P10" s="13" t="n"/>
      <c r="Q10" s="14" t="n"/>
      <c r="R10" s="15" t="n"/>
      <c r="S10" s="13" t="n"/>
      <c r="T10" s="14" t="n"/>
      <c r="U10" s="15" t="n"/>
      <c r="V10" s="13" t="n"/>
      <c r="W10" s="14" t="n"/>
      <c r="X10" s="14" t="n"/>
      <c r="Y10" s="6">
        <f>IF(ISBLANK(V10),"",V10-D10)</f>
        <v/>
      </c>
      <c r="Z10" t="inlineStr">
        <is>
          <t>legacy-app-protocol-support</t>
        </is>
      </c>
      <c r="AA10" t="n">
        <v>0</v>
      </c>
      <c r="AB10">
        <f>IF(ISBLANK(V10),D10,V10)</f>
        <v/>
      </c>
    </row>
    <row r="11">
      <c r="A11" s="16" t="inlineStr">
        <is>
          <t>Noise / False-Positive Rate</t>
        </is>
      </c>
      <c r="B11" s="16" t="inlineStr">
        <is>
          <t>Detection Quality</t>
        </is>
      </c>
      <c r="C11" s="17" t="n">
        <v>4</v>
      </c>
      <c r="D11" s="17" t="n">
        <v>3</v>
      </c>
      <c r="E11" s="18" t="inlineStr">
        <is>
          <r>
            <t xml:space="preserve">Correction after independent gap-check: the widely-quoted '94% false positive rate' traces to a single anonymous PeerSpot reviewer's subjective comment in a room-for-improvement section (re: SQL/JSON injection specifically) -- not a benchmark study, not corroborated elsewhere among the other reviews on that page or any other source. Reported here as an unverified anecdote, not a real statistic. No other strong false-positive evidence found either direction. Source: </t>
          </r>
          <r>
            <rPr>
              <color rgb="000563C1"/>
              <u val="single"/>
            </rPr>
            <t>peerspot.com/products/rapid7-insightappsec-reviews</t>
          </r>
        </is>
      </c>
      <c r="F11" s="16" t="inlineStr">
        <is>
          <t>paper</t>
        </is>
      </c>
      <c r="G11" s="19" t="n"/>
      <c r="H11" s="20" t="n"/>
      <c r="I11" s="21" t="n"/>
      <c r="J11" s="19" t="n"/>
      <c r="K11" s="20" t="n"/>
      <c r="L11" s="21" t="n"/>
      <c r="M11" s="19" t="n"/>
      <c r="N11" s="20" t="n"/>
      <c r="O11" s="21" t="n"/>
      <c r="P11" s="19" t="n"/>
      <c r="Q11" s="20" t="n"/>
      <c r="R11" s="21" t="n"/>
      <c r="S11" s="19" t="n"/>
      <c r="T11" s="20" t="n"/>
      <c r="U11" s="21" t="n"/>
      <c r="V11" s="19" t="n"/>
      <c r="W11" s="20" t="n"/>
      <c r="X11" s="20" t="n"/>
      <c r="Y11" s="17">
        <f>IF(ISBLANK(V11),"",V11-D11)</f>
        <v/>
      </c>
      <c r="Z11" s="22" t="inlineStr">
        <is>
          <t>false-positive-rate</t>
        </is>
      </c>
      <c r="AA11" s="22" t="n">
        <v>0</v>
      </c>
      <c r="AB11" s="22">
        <f>IF(ISBLANK(V11),D11,V11)</f>
        <v/>
      </c>
    </row>
    <row r="12">
      <c r="A12" s="11" t="inlineStr">
        <is>
          <t>Shadow/Zombie API Discovery</t>
        </is>
      </c>
      <c r="B12" s="11" t="inlineStr">
        <is>
          <t>Coverage</t>
        </is>
      </c>
      <c r="C12" s="6" t="n">
        <v>4</v>
      </c>
      <c r="D12" s="6" t="n">
        <v>2</v>
      </c>
      <c r="E12" s="12" t="inlineStr">
        <is>
          <r>
            <t xml:space="preserve">Confirmed weak after independent gap-check: 'Application Discovery' is Project Sonar-powered asset/domain discovery (finds unknown applications/subdomains), not undocumented-endpoint discovery within an application already being scanned -- a real capability gap, not just unclear documentation. Source: </t>
          </r>
          <r>
            <rPr>
              <color rgb="000563C1"/>
              <u val="single"/>
            </rPr>
            <t>rapid7.com/blog</t>
          </r>
          <r>
            <t xml:space="preserve"> Application Discovery post</t>
          </r>
        </is>
      </c>
      <c r="F12" s="11" t="inlineStr">
        <is>
          <t>paper</t>
        </is>
      </c>
      <c r="G12" s="13" t="n"/>
      <c r="H12" s="14" t="n"/>
      <c r="I12" s="15" t="n"/>
      <c r="J12" s="13" t="n"/>
      <c r="K12" s="14" t="n"/>
      <c r="L12" s="15" t="n"/>
      <c r="M12" s="13" t="n"/>
      <c r="N12" s="14" t="n"/>
      <c r="O12" s="15" t="n"/>
      <c r="P12" s="13" t="n"/>
      <c r="Q12" s="14" t="n"/>
      <c r="R12" s="15" t="n"/>
      <c r="S12" s="13" t="n"/>
      <c r="T12" s="14" t="n"/>
      <c r="U12" s="15" t="n"/>
      <c r="V12" s="13" t="n"/>
      <c r="W12" s="14" t="n"/>
      <c r="X12" s="14" t="n"/>
      <c r="Y12" s="6">
        <f>IF(ISBLANK(V12),"",V12-D12)</f>
        <v/>
      </c>
      <c r="Z12" t="inlineStr">
        <is>
          <t>shadow-api-discovery</t>
        </is>
      </c>
      <c r="AA12" t="n">
        <v>0</v>
      </c>
      <c r="AB12">
        <f>IF(ISBLANK(V12),D12,V12)</f>
        <v/>
      </c>
    </row>
    <row r="13">
      <c r="A13" s="16" t="inlineStr">
        <is>
          <t>Business Logic &amp; Workflow Vulnerability Detection</t>
        </is>
      </c>
      <c r="B13" s="16" t="inlineStr">
        <is>
          <t>Coverage</t>
        </is>
      </c>
      <c r="C13" s="17" t="n">
        <v>4</v>
      </c>
      <c r="D13" s="17" t="n">
        <v>3</v>
      </c>
      <c r="E13" s="18" t="inlineStr">
        <is>
          <r>
            <t xml:space="preserve">Macro-based multi-step sequence recording/replay (e.g. checkout flow) and a general 'authorization issues and business logic vulnerabilities' claim in the coverage list, but no confirmed BOLA-specific dual-account object-ID comparison mechanism found. Source: </t>
          </r>
          <r>
            <rPr>
              <color rgb="000563C1"/>
              <u val="single"/>
            </rPr>
            <t>appsecsanta.com/insightappsec</t>
          </r>
          <r>
            <t xml:space="preserve"> review</t>
          </r>
        </is>
      </c>
      <c r="F13" s="16" t="inlineStr">
        <is>
          <t>paper</t>
        </is>
      </c>
      <c r="G13" s="19" t="n"/>
      <c r="H13" s="20" t="n"/>
      <c r="I13" s="21" t="n"/>
      <c r="J13" s="19" t="n"/>
      <c r="K13" s="20" t="n"/>
      <c r="L13" s="21" t="n"/>
      <c r="M13" s="19" t="n"/>
      <c r="N13" s="20" t="n"/>
      <c r="O13" s="21" t="n"/>
      <c r="P13" s="19" t="n"/>
      <c r="Q13" s="20" t="n"/>
      <c r="R13" s="21" t="n"/>
      <c r="S13" s="19" t="n"/>
      <c r="T13" s="20" t="n"/>
      <c r="U13" s="21" t="n"/>
      <c r="V13" s="19" t="n"/>
      <c r="W13" s="20" t="n"/>
      <c r="X13" s="20" t="n"/>
      <c r="Y13" s="17">
        <f>IF(ISBLANK(V13),"",V13-D13)</f>
        <v/>
      </c>
      <c r="Z13" s="22" t="inlineStr">
        <is>
          <t>business-logic-workflow-detection</t>
        </is>
      </c>
      <c r="AA13" s="22" t="n">
        <v>0</v>
      </c>
      <c r="AB13" s="22">
        <f>IF(ISBLANK(V13),D13,V13)</f>
        <v/>
      </c>
    </row>
    <row r="14">
      <c r="A14" s="11" t="inlineStr">
        <is>
          <t>Compliance &amp; Standards Mapping</t>
        </is>
      </c>
      <c r="B14" s="11" t="inlineStr">
        <is>
          <t>Detection Quality</t>
        </is>
      </c>
      <c r="C14" s="6" t="n">
        <v>4</v>
      </c>
      <c r="D14" s="6" t="n">
        <v>4</v>
      </c>
      <c r="E14" s="12" t="inlineStr">
        <is>
          <r>
            <t xml:space="preserve">PCI-DSS, HIPAA (pass/fail by requirement), SOX, and OWASP Top 10 compliance reports confirmed; no explicit GLBA/FFIEC/NYDFS mapping found, unlike HCL AppScan's FFIEC-specific report. Source: </t>
          </r>
          <r>
            <rPr>
              <color rgb="000563C1"/>
              <u val="single"/>
            </rPr>
            <t>rapid7.com/products/insightappsec/features/powerful-reporting-for-compliance-and-remediation</t>
          </r>
        </is>
      </c>
      <c r="F14" s="11" t="inlineStr">
        <is>
          <t>paper</t>
        </is>
      </c>
      <c r="G14" s="13" t="n"/>
      <c r="H14" s="14" t="n"/>
      <c r="I14" s="15" t="n"/>
      <c r="J14" s="13" t="n"/>
      <c r="K14" s="14" t="n"/>
      <c r="L14" s="15" t="n"/>
      <c r="M14" s="13" t="n"/>
      <c r="N14" s="14" t="n"/>
      <c r="O14" s="15" t="n"/>
      <c r="P14" s="13" t="n"/>
      <c r="Q14" s="14" t="n"/>
      <c r="R14" s="15" t="n"/>
      <c r="S14" s="13" t="n"/>
      <c r="T14" s="14" t="n"/>
      <c r="U14" s="15" t="n"/>
      <c r="V14" s="13" t="n"/>
      <c r="W14" s="14" t="n"/>
      <c r="X14" s="14" t="n"/>
      <c r="Y14" s="6">
        <f>IF(ISBLANK(V14),"",V14-D14)</f>
        <v/>
      </c>
      <c r="Z14" t="inlineStr">
        <is>
          <t>compliance-standards-mapping</t>
        </is>
      </c>
      <c r="AA14" t="n">
        <v>0</v>
      </c>
      <c r="AB14">
        <f>IF(ISBLANK(V14),D14,V14)</f>
        <v/>
      </c>
    </row>
    <row r="15">
      <c r="A15" s="16" t="inlineStr">
        <is>
          <t>Triage &amp; Remediation Guidance</t>
        </is>
      </c>
      <c r="B15" s="16" t="inlineStr">
        <is>
          <t>Developer Experience</t>
        </is>
      </c>
      <c r="C15" s="17" t="n">
        <v>4</v>
      </c>
      <c r="D15" s="17" t="n">
        <v>4.5</v>
      </c>
      <c r="E15" s="18" t="inlineStr">
        <is>
          <r>
            <t xml:space="preserve">Attack Replay provides a full replay package per finding: HTTP request, reproduction steps, evidence screenshots, and fix guidance. Source: </t>
          </r>
          <r>
            <rPr>
              <color rgb="000563C1"/>
              <u val="single"/>
            </rPr>
            <t>rapid7.com/blog</t>
          </r>
          <r>
            <t xml:space="preserve"> Attack Replay</t>
          </r>
        </is>
      </c>
      <c r="F15" s="16" t="inlineStr">
        <is>
          <t>paper</t>
        </is>
      </c>
      <c r="G15" s="19" t="n"/>
      <c r="H15" s="20" t="n"/>
      <c r="I15" s="21" t="n"/>
      <c r="J15" s="19" t="n"/>
      <c r="K15" s="20" t="n"/>
      <c r="L15" s="21" t="n"/>
      <c r="M15" s="19" t="n"/>
      <c r="N15" s="20" t="n"/>
      <c r="O15" s="21" t="n"/>
      <c r="P15" s="19" t="n"/>
      <c r="Q15" s="20" t="n"/>
      <c r="R15" s="21" t="n"/>
      <c r="S15" s="19" t="n"/>
      <c r="T15" s="20" t="n"/>
      <c r="U15" s="21" t="n"/>
      <c r="V15" s="19" t="n"/>
      <c r="W15" s="20" t="n"/>
      <c r="X15" s="20" t="n"/>
      <c r="Y15" s="17">
        <f>IF(ISBLANK(V15),"",V15-D15)</f>
        <v/>
      </c>
      <c r="Z15" s="22" t="inlineStr">
        <is>
          <t>triage-remediation-guidance</t>
        </is>
      </c>
      <c r="AA15" s="22" t="n">
        <v>0</v>
      </c>
      <c r="AB15" s="22">
        <f>IF(ISBLANK(V15),D15,V15)</f>
        <v/>
      </c>
    </row>
    <row r="16">
      <c r="A16" s="11" t="inlineStr">
        <is>
          <t>Vulnerability Status Management</t>
        </is>
      </c>
      <c r="B16" s="11" t="inlineStr">
        <is>
          <t>Reporting &amp; Extensibility</t>
        </is>
      </c>
      <c r="C16" s="6" t="n">
        <v>4</v>
      </c>
      <c r="D16" s="6" t="n">
        <v>3</v>
      </c>
      <c r="E16" s="12" t="inlineStr">
        <is>
          <r>
            <t xml:space="preserve">A 'Test Vulnerability Remediation' workflow exists for confirming fixes, but a formal exception/risk-acceptance workflow with a dedicated audit trail is not clearly confirmed. Source: </t>
          </r>
          <r>
            <rPr>
              <color rgb="000563C1"/>
              <u val="single"/>
            </rPr>
            <t>docs.rapid7.com/insightappsec/test-vulnerability-remediation</t>
          </r>
        </is>
      </c>
      <c r="F16" s="11" t="inlineStr">
        <is>
          <t>paper</t>
        </is>
      </c>
      <c r="G16" s="13" t="n"/>
      <c r="H16" s="14" t="n"/>
      <c r="I16" s="15" t="n"/>
      <c r="J16" s="13" t="n"/>
      <c r="K16" s="14" t="n"/>
      <c r="L16" s="15" t="n"/>
      <c r="M16" s="13" t="n"/>
      <c r="N16" s="14" t="n"/>
      <c r="O16" s="15" t="n"/>
      <c r="P16" s="13" t="n"/>
      <c r="Q16" s="14" t="n"/>
      <c r="R16" s="15" t="n"/>
      <c r="S16" s="13" t="n"/>
      <c r="T16" s="14" t="n"/>
      <c r="U16" s="15" t="n"/>
      <c r="V16" s="13" t="n"/>
      <c r="W16" s="14" t="n"/>
      <c r="X16" s="14" t="n"/>
      <c r="Y16" s="6">
        <f>IF(ISBLANK(V16),"",V16-D16)</f>
        <v/>
      </c>
      <c r="Z16" t="inlineStr">
        <is>
          <t>vulnerability-status-management</t>
        </is>
      </c>
      <c r="AA16" t="n">
        <v>0</v>
      </c>
      <c r="AB16">
        <f>IF(ISBLANK(V16),D16,V16)</f>
        <v/>
      </c>
    </row>
    <row r="17">
      <c r="A17" s="16" t="inlineStr">
        <is>
          <t>Automated Triage / FP-Reduction Engine</t>
        </is>
      </c>
      <c r="B17" s="16" t="inlineStr">
        <is>
          <t>Detection Quality</t>
        </is>
      </c>
      <c r="C17" s="17" t="n">
        <v>3</v>
      </c>
      <c r="D17" s="17" t="n">
        <v>1.5</v>
      </c>
      <c r="E17" s="18" t="inlineStr">
        <is>
          <r>
            <t xml:space="preserve">Confirmed weak after independent gap-check: only a manual False Positive Regex field exists for suppressing known false positives per attack template; an unanswered Rapid7 community-forum question on reducing false positives found no documented automated/cross-scan-learning mechanism in response. Source: </t>
          </r>
          <r>
            <rPr>
              <color rgb="000563C1"/>
              <u val="single"/>
            </rPr>
            <t>discuss.rapid7.com</t>
          </r>
          <r>
            <t xml:space="preserve"> Reducing false positives thread</t>
          </r>
        </is>
      </c>
      <c r="F17" s="16" t="inlineStr">
        <is>
          <t>paper</t>
        </is>
      </c>
      <c r="G17" s="19" t="n"/>
      <c r="H17" s="20" t="n"/>
      <c r="I17" s="21" t="n"/>
      <c r="J17" s="19" t="n"/>
      <c r="K17" s="20" t="n"/>
      <c r="L17" s="21" t="n"/>
      <c r="M17" s="19" t="n"/>
      <c r="N17" s="20" t="n"/>
      <c r="O17" s="21" t="n"/>
      <c r="P17" s="19" t="n"/>
      <c r="Q17" s="20" t="n"/>
      <c r="R17" s="21" t="n"/>
      <c r="S17" s="19" t="n"/>
      <c r="T17" s="20" t="n"/>
      <c r="U17" s="21" t="n"/>
      <c r="V17" s="19" t="n"/>
      <c r="W17" s="20" t="n"/>
      <c r="X17" s="20" t="n"/>
      <c r="Y17" s="17">
        <f>IF(ISBLANK(V17),"",V17-D17)</f>
        <v/>
      </c>
      <c r="Z17" s="22" t="inlineStr">
        <is>
          <t>automated-triage-fp-reduction</t>
        </is>
      </c>
      <c r="AA17" s="22" t="n">
        <v>0</v>
      </c>
      <c r="AB17" s="22">
        <f>IF(ISBLANK(V17),D17,V17)</f>
        <v/>
      </c>
    </row>
    <row r="18">
      <c r="A18" s="11" t="inlineStr">
        <is>
          <t>Predictability of Licensing Model</t>
        </is>
      </c>
      <c r="B18" s="11" t="inlineStr">
        <is>
          <t>Deployment &amp; Data Governance</t>
        </is>
      </c>
      <c r="C18" s="6" t="n">
        <v>3</v>
      </c>
      <c r="D18" s="6" t="n">
        <v>3.5</v>
      </c>
      <c r="E18" s="12" t="inlineStr">
        <is>
          <r>
            <t xml:space="preserve">A real published starting price ($175/application/month) is more transparent than the other three newly-added vendors' pure quote-based models, though enterprise-tier and multi-product-bundle pricing (with InsightVM/InsightIDR) still require custom quotes. Source: </t>
          </r>
          <r>
            <rPr>
              <color rgb="000563C1"/>
              <u val="single"/>
            </rPr>
            <t>rapid7.com/products/insightappsec/pricing</t>
          </r>
        </is>
      </c>
      <c r="F18" s="11" t="inlineStr">
        <is>
          <t>paper</t>
        </is>
      </c>
      <c r="G18" s="13" t="n"/>
      <c r="H18" s="14" t="n"/>
      <c r="I18" s="15" t="n"/>
      <c r="J18" s="13" t="n"/>
      <c r="K18" s="14" t="n"/>
      <c r="L18" s="15" t="n"/>
      <c r="M18" s="13" t="n"/>
      <c r="N18" s="14" t="n"/>
      <c r="O18" s="15" t="n"/>
      <c r="P18" s="13" t="n"/>
      <c r="Q18" s="14" t="n"/>
      <c r="R18" s="15" t="n"/>
      <c r="S18" s="13" t="n"/>
      <c r="T18" s="14" t="n"/>
      <c r="U18" s="15" t="n"/>
      <c r="V18" s="13" t="n"/>
      <c r="W18" s="14" t="n"/>
      <c r="X18" s="14" t="n"/>
      <c r="Y18" s="6">
        <f>IF(ISBLANK(V18),"",V18-D18)</f>
        <v/>
      </c>
      <c r="Z18" t="inlineStr">
        <is>
          <t>licensing-model-predictability</t>
        </is>
      </c>
      <c r="AA18" t="n">
        <v>0</v>
      </c>
      <c r="AB18">
        <f>IF(ISBLANK(V18),D18,V18)</f>
        <v/>
      </c>
    </row>
    <row r="19">
      <c r="A19" s="16" t="inlineStr">
        <is>
          <t>Multi-Tenancy &amp; Access Control</t>
        </is>
      </c>
      <c r="B19" s="16" t="inlineStr">
        <is>
          <t>Deployment &amp; Data Governance</t>
        </is>
      </c>
      <c r="C19" s="17" t="n">
        <v>3</v>
      </c>
      <c r="D19" s="17" t="n">
        <v>4</v>
      </c>
      <c r="E19" s="18" t="inlineStr">
        <is>
          <r>
            <t xml:space="preserve">Documented RBAC with Administer / View-and-Change / View-only access levels per feature, plus a dedicated RBAC FAQ page for InsightAppSec specifically. Business-unit-specific isolation not explicitly confirmed. Source: </t>
          </r>
          <r>
            <rPr>
              <color rgb="000563C1"/>
              <u val="single"/>
            </rPr>
            <t>docs.rapid7.com/insightappsec/rbac</t>
          </r>
        </is>
      </c>
      <c r="F19" s="16" t="inlineStr">
        <is>
          <t>paper</t>
        </is>
      </c>
      <c r="G19" s="19" t="n"/>
      <c r="H19" s="20" t="n"/>
      <c r="I19" s="21" t="n"/>
      <c r="J19" s="19" t="n"/>
      <c r="K19" s="20" t="n"/>
      <c r="L19" s="21" t="n"/>
      <c r="M19" s="19" t="n"/>
      <c r="N19" s="20" t="n"/>
      <c r="O19" s="21" t="n"/>
      <c r="P19" s="19" t="n"/>
      <c r="Q19" s="20" t="n"/>
      <c r="R19" s="21" t="n"/>
      <c r="S19" s="19" t="n"/>
      <c r="T19" s="20" t="n"/>
      <c r="U19" s="21" t="n"/>
      <c r="V19" s="19" t="n"/>
      <c r="W19" s="20" t="n"/>
      <c r="X19" s="20" t="n"/>
      <c r="Y19" s="17">
        <f>IF(ISBLANK(V19),"",V19-D19)</f>
        <v/>
      </c>
      <c r="Z19" s="22" t="inlineStr">
        <is>
          <t>multi-tenancy-access-control</t>
        </is>
      </c>
      <c r="AA19" s="22" t="n">
        <v>0</v>
      </c>
      <c r="AB19" s="22">
        <f>IF(ISBLANK(V19),D19,V19)</f>
        <v/>
      </c>
    </row>
    <row r="20">
      <c r="A20" s="11" t="inlineStr">
        <is>
          <t>Setup &amp; Onboarding Friction</t>
        </is>
      </c>
      <c r="B20" s="11" t="inlineStr">
        <is>
          <t>Developer Experience</t>
        </is>
      </c>
      <c r="C20" s="6" t="n">
        <v>3</v>
      </c>
      <c r="D20" s="6" t="n">
        <v>4</v>
      </c>
      <c r="E20" s="12" t="inlineStr">
        <is>
          <r>
            <t xml:space="preserve">Vendor-cited 'deploys in 30 minutes.' Source: </t>
          </r>
          <r>
            <rPr>
              <color rgb="000563C1"/>
              <u val="single"/>
            </rPr>
            <t>aimultiple.com/dast-tools</t>
          </r>
        </is>
      </c>
      <c r="F20" s="11" t="inlineStr">
        <is>
          <t>paper</t>
        </is>
      </c>
      <c r="G20" s="13" t="n"/>
      <c r="H20" s="14" t="n"/>
      <c r="I20" s="15" t="n"/>
      <c r="J20" s="13" t="n"/>
      <c r="K20" s="14" t="n"/>
      <c r="L20" s="15" t="n"/>
      <c r="M20" s="13" t="n"/>
      <c r="N20" s="14" t="n"/>
      <c r="O20" s="15" t="n"/>
      <c r="P20" s="13" t="n"/>
      <c r="Q20" s="14" t="n"/>
      <c r="R20" s="15" t="n"/>
      <c r="S20" s="13" t="n"/>
      <c r="T20" s="14" t="n"/>
      <c r="U20" s="15" t="n"/>
      <c r="V20" s="13" t="n"/>
      <c r="W20" s="14" t="n"/>
      <c r="X20" s="14" t="n"/>
      <c r="Y20" s="6">
        <f>IF(ISBLANK(V20),"",V20-D20)</f>
        <v/>
      </c>
      <c r="Z20" t="inlineStr">
        <is>
          <t>setup-onboarding-friction</t>
        </is>
      </c>
      <c r="AA20" t="n">
        <v>0</v>
      </c>
      <c r="AB20">
        <f>IF(ISBLANK(V20),D20,V20)</f>
        <v/>
      </c>
    </row>
    <row r="21">
      <c r="A21" s="16" t="inlineStr">
        <is>
          <t>Traditional Stateful Web Crawling</t>
        </is>
      </c>
      <c r="B21" s="16" t="inlineStr">
        <is>
          <t>Coverage</t>
        </is>
      </c>
      <c r="C21" s="17" t="n">
        <v>3</v>
      </c>
      <c r="D21" s="17" t="n">
        <v>4</v>
      </c>
      <c r="E21" s="18" t="inlineStr">
        <is>
          <r>
            <t xml:space="preserve">Macro 'Use Sequence' recording explicitly handles multi-step flows (e.g. a checkout shipping page), replaying the exact sequence of events. Source: </t>
          </r>
          <r>
            <rPr>
              <color rgb="000563C1"/>
              <u val="single"/>
            </rPr>
            <t>appsecsanta.com/insightappsec</t>
          </r>
          <r>
            <t xml:space="preserve"> review</t>
          </r>
        </is>
      </c>
      <c r="F21" s="16" t="inlineStr">
        <is>
          <t>paper</t>
        </is>
      </c>
      <c r="G21" s="19" t="n"/>
      <c r="H21" s="20" t="n"/>
      <c r="I21" s="21" t="n"/>
      <c r="J21" s="19" t="n"/>
      <c r="K21" s="20" t="n"/>
      <c r="L21" s="21" t="n"/>
      <c r="M21" s="19" t="n"/>
      <c r="N21" s="20" t="n"/>
      <c r="O21" s="21" t="n"/>
      <c r="P21" s="19" t="n"/>
      <c r="Q21" s="20" t="n"/>
      <c r="R21" s="21" t="n"/>
      <c r="S21" s="19" t="n"/>
      <c r="T21" s="20" t="n"/>
      <c r="U21" s="21" t="n"/>
      <c r="V21" s="19" t="n"/>
      <c r="W21" s="20" t="n"/>
      <c r="X21" s="20" t="n"/>
      <c r="Y21" s="17">
        <f>IF(ISBLANK(V21),"",V21-D21)</f>
        <v/>
      </c>
      <c r="Z21" s="22" t="inlineStr">
        <is>
          <t>stateful-web-crawling</t>
        </is>
      </c>
      <c r="AA21" s="22" t="n">
        <v>0</v>
      </c>
      <c r="AB21" s="22">
        <f>IF(ISBLANK(V21),D21,V21)</f>
        <v/>
      </c>
    </row>
    <row r="22">
      <c r="A22" s="11" t="inlineStr">
        <is>
          <t>Vendor Security Posture</t>
        </is>
      </c>
      <c r="B22" s="11" t="inlineStr">
        <is>
          <t>Deployment &amp; Data Governance</t>
        </is>
      </c>
      <c r="C22" s="6" t="n">
        <v>3</v>
      </c>
      <c r="D22" s="6" t="n">
        <v>4.5</v>
      </c>
      <c r="E22" s="12" t="inlineStr">
        <is>
          <r>
            <t xml:space="preserve">ISO 27001-certified ISMS and an annual SOC 2 Type II audit, confirmed directly on Rapid7's own trust/compliance page. Source: </t>
          </r>
          <r>
            <rPr>
              <color rgb="000563C1"/>
              <u val="single"/>
            </rPr>
            <t>rapid7.com/trust/compliance</t>
          </r>
        </is>
      </c>
      <c r="F22" s="11" t="inlineStr">
        <is>
          <t>paper</t>
        </is>
      </c>
      <c r="G22" s="13" t="n"/>
      <c r="H22" s="14" t="n"/>
      <c r="I22" s="15" t="n"/>
      <c r="J22" s="13" t="n"/>
      <c r="K22" s="14" t="n"/>
      <c r="L22" s="15" t="n"/>
      <c r="M22" s="13" t="n"/>
      <c r="N22" s="14" t="n"/>
      <c r="O22" s="15" t="n"/>
      <c r="P22" s="13" t="n"/>
      <c r="Q22" s="14" t="n"/>
      <c r="R22" s="15" t="n"/>
      <c r="S22" s="13" t="n"/>
      <c r="T22" s="14" t="n"/>
      <c r="U22" s="15" t="n"/>
      <c r="V22" s="13" t="n"/>
      <c r="W22" s="14" t="n"/>
      <c r="X22" s="14" t="n"/>
      <c r="Y22" s="6">
        <f>IF(ISBLANK(V22),"",V22-D22)</f>
        <v/>
      </c>
      <c r="Z22" t="inlineStr">
        <is>
          <t>vendor-security-posture</t>
        </is>
      </c>
      <c r="AA22" t="n">
        <v>0</v>
      </c>
      <c r="AB22">
        <f>IF(ISBLANK(V22),D22,V22)</f>
        <v/>
      </c>
    </row>
    <row r="23">
      <c r="A23" s="16" t="inlineStr">
        <is>
          <t>ASPM Integration</t>
        </is>
      </c>
      <c r="B23" s="16" t="inlineStr">
        <is>
          <t>Reporting &amp; Extensibility</t>
        </is>
      </c>
      <c r="C23" s="17" t="n">
        <v>2</v>
      </c>
      <c r="D23" s="17" t="n">
        <v>1.5</v>
      </c>
      <c r="E23" s="18" t="inlineStr">
        <is>
          <r>
            <t xml:space="preserve">Confirmed absent after independent gap-check: ArmorCode's public integrations page explicitly lists 'Rapid7 InsightVM,' 'Rapid7 Nexpose,' and 'Rapid7 Insight' (infra/CSPM/vuln-mgmt products) but has no listing for InsightAppSec by name -- a specific, direct finding of omission, not just absence of evidence. Source: </t>
          </r>
          <r>
            <rPr>
              <color rgb="000563C1"/>
              <u val="single"/>
            </rPr>
            <t>armorcode.com/integrations</t>
          </r>
        </is>
      </c>
      <c r="F23" s="16" t="inlineStr">
        <is>
          <t>paper</t>
        </is>
      </c>
      <c r="G23" s="19" t="n"/>
      <c r="H23" s="20" t="n"/>
      <c r="I23" s="21" t="n"/>
      <c r="J23" s="19" t="n"/>
      <c r="K23" s="20" t="n"/>
      <c r="L23" s="21" t="n"/>
      <c r="M23" s="19" t="n"/>
      <c r="N23" s="20" t="n"/>
      <c r="O23" s="21" t="n"/>
      <c r="P23" s="19" t="n"/>
      <c r="Q23" s="20" t="n"/>
      <c r="R23" s="21" t="n"/>
      <c r="S23" s="19" t="n"/>
      <c r="T23" s="20" t="n"/>
      <c r="U23" s="21" t="n"/>
      <c r="V23" s="19" t="n"/>
      <c r="W23" s="20" t="n"/>
      <c r="X23" s="20" t="n"/>
      <c r="Y23" s="17">
        <f>IF(ISBLANK(V23),"",V23-D23)</f>
        <v/>
      </c>
      <c r="Z23" s="22" t="inlineStr">
        <is>
          <t>aspm-integration</t>
        </is>
      </c>
      <c r="AA23" s="22" t="n">
        <v>0</v>
      </c>
      <c r="AB23" s="22">
        <f>IF(ISBLANK(V23),D23,V23)</f>
        <v/>
      </c>
    </row>
    <row r="24">
      <c r="A24" s="11" t="inlineStr">
        <is>
          <t>Sensitive Financial Data Exposure Detection</t>
        </is>
      </c>
      <c r="B24" s="11" t="inlineStr">
        <is>
          <t>Detection Quality</t>
        </is>
      </c>
      <c r="C24" s="6" t="n">
        <v>2</v>
      </c>
      <c r="D24" s="6" t="n">
        <v>2</v>
      </c>
      <c r="E24" s="12" t="inlineStr">
        <is>
          <r>
            <t xml:space="preserve">A passive attack module is confirmed for clear-text-password (credential) detection; no citable evidence found either direction for dedicated PAN/routing-number/SSN-specific pattern detection after independent gap-check -- absence of evidence, not confirmed absence of the feature. Source: </t>
          </r>
          <r>
            <rPr>
              <color rgb="000563C1"/>
              <u val="single"/>
            </rPr>
            <t>docs.rapid7.com/insightappsec/concepts</t>
          </r>
        </is>
      </c>
      <c r="F24" s="11" t="inlineStr">
        <is>
          <t>paper</t>
        </is>
      </c>
      <c r="G24" s="13" t="n"/>
      <c r="H24" s="14" t="n"/>
      <c r="I24" s="15" t="n"/>
      <c r="J24" s="13" t="n"/>
      <c r="K24" s="14" t="n"/>
      <c r="L24" s="15" t="n"/>
      <c r="M24" s="13" t="n"/>
      <c r="N24" s="14" t="n"/>
      <c r="O24" s="15" t="n"/>
      <c r="P24" s="13" t="n"/>
      <c r="Q24" s="14" t="n"/>
      <c r="R24" s="15" t="n"/>
      <c r="S24" s="13" t="n"/>
      <c r="T24" s="14" t="n"/>
      <c r="U24" s="15" t="n"/>
      <c r="V24" s="13" t="n"/>
      <c r="W24" s="14" t="n"/>
      <c r="X24" s="14" t="n"/>
      <c r="Y24" s="6">
        <f>IF(ISBLANK(V24),"",V24-D24)</f>
        <v/>
      </c>
      <c r="Z24" t="inlineStr">
        <is>
          <t>sensitive-financial-data-exposure</t>
        </is>
      </c>
      <c r="AA24" t="n">
        <v>0</v>
      </c>
      <c r="AB24">
        <f>IF(ISBLANK(V24),D24,V24)</f>
        <v/>
      </c>
    </row>
    <row r="25">
      <c r="A25" s="16" t="inlineStr">
        <is>
          <t>Finding Validation / Proof-of-Exploit</t>
        </is>
      </c>
      <c r="B25" s="16" t="inlineStr">
        <is>
          <t>Detection Quality</t>
        </is>
      </c>
      <c r="C25" s="17" t="n">
        <v>2</v>
      </c>
      <c r="D25" s="17" t="n">
        <v>4.5</v>
      </c>
      <c r="E25" s="18" t="inlineStr">
        <is>
          <r>
            <t xml:space="preserve">Attack Replay replays the actual recorded attack traffic used to identify a finding as proof, and lets the user edit the request to confirm whether a fix resolves it. Source: </t>
          </r>
          <r>
            <rPr>
              <color rgb="000563C1"/>
              <u val="single"/>
            </rPr>
            <t>docs.rapid7.com/insightappsec/test-vulnerability-remediation</t>
          </r>
        </is>
      </c>
      <c r="F25" s="16" t="inlineStr">
        <is>
          <t>paper</t>
        </is>
      </c>
      <c r="G25" s="19" t="n"/>
      <c r="H25" s="20" t="n"/>
      <c r="I25" s="21" t="n"/>
      <c r="J25" s="19" t="n"/>
      <c r="K25" s="20" t="n"/>
      <c r="L25" s="21" t="n"/>
      <c r="M25" s="19" t="n"/>
      <c r="N25" s="20" t="n"/>
      <c r="O25" s="21" t="n"/>
      <c r="P25" s="19" t="n"/>
      <c r="Q25" s="20" t="n"/>
      <c r="R25" s="21" t="n"/>
      <c r="S25" s="19" t="n"/>
      <c r="T25" s="20" t="n"/>
      <c r="U25" s="21" t="n"/>
      <c r="V25" s="19" t="n"/>
      <c r="W25" s="20" t="n"/>
      <c r="X25" s="20" t="n"/>
      <c r="Y25" s="17">
        <f>IF(ISBLANK(V25),"",V25-D25)</f>
        <v/>
      </c>
      <c r="Z25" s="22" t="inlineStr">
        <is>
          <t>finding-validation-proof-of-exploit</t>
        </is>
      </c>
      <c r="AA25" s="22" t="n">
        <v>0</v>
      </c>
      <c r="AB25" s="22">
        <f>IF(ISBLANK(V25),D25,V25)</f>
        <v/>
      </c>
    </row>
    <row r="26">
      <c r="A26" s="11" t="inlineStr">
        <is>
          <t>Historical Risk Trend Dashboards</t>
        </is>
      </c>
      <c r="B26" s="11" t="inlineStr">
        <is>
          <t>Reporting &amp; Extensibility</t>
        </is>
      </c>
      <c r="C26" s="6" t="n">
        <v>2</v>
      </c>
      <c r="D26" s="6" t="n">
        <v>3</v>
      </c>
      <c r="E26" s="12" t="inlineStr">
        <is>
          <r>
            <t xml:space="preserve">A configurable dashboard widget library exists, but no explicit severity-trend-line or executive-level rollup feature was found, unlike Checkmarx/HCL's more explicit trend dashboards. Source: </t>
          </r>
          <r>
            <rPr>
              <color rgb="000563C1"/>
              <u val="single"/>
            </rPr>
            <t>docs.rapid7.com/insightappsec/monitor-appsec-data-with-dashboards</t>
          </r>
        </is>
      </c>
      <c r="F26" s="11" t="inlineStr">
        <is>
          <t>paper</t>
        </is>
      </c>
      <c r="G26" s="13" t="n"/>
      <c r="H26" s="14" t="n"/>
      <c r="I26" s="15" t="n"/>
      <c r="J26" s="13" t="n"/>
      <c r="K26" s="14" t="n"/>
      <c r="L26" s="15" t="n"/>
      <c r="M26" s="13" t="n"/>
      <c r="N26" s="14" t="n"/>
      <c r="O26" s="15" t="n"/>
      <c r="P26" s="13" t="n"/>
      <c r="Q26" s="14" t="n"/>
      <c r="R26" s="15" t="n"/>
      <c r="S26" s="13" t="n"/>
      <c r="T26" s="14" t="n"/>
      <c r="U26" s="15" t="n"/>
      <c r="V26" s="13" t="n"/>
      <c r="W26" s="14" t="n"/>
      <c r="X26" s="14" t="n"/>
      <c r="Y26" s="6">
        <f>IF(ISBLANK(V26),"",V26-D26)</f>
        <v/>
      </c>
      <c r="Z26" t="inlineStr">
        <is>
          <t>historical-risk-trend-dashboards</t>
        </is>
      </c>
      <c r="AA26" t="n">
        <v>0</v>
      </c>
      <c r="AB26">
        <f>IF(ISBLANK(V26),D26,V26)</f>
        <v/>
      </c>
    </row>
    <row r="27">
      <c r="A27" s="16" t="inlineStr">
        <is>
          <t>Reporting Quality / Exportability</t>
        </is>
      </c>
      <c r="B27" s="16" t="inlineStr">
        <is>
          <t>Reporting &amp; Extensibility</t>
        </is>
      </c>
      <c r="C27" s="17" t="n">
        <v>2</v>
      </c>
      <c r="D27" s="17" t="n">
        <v>4</v>
      </c>
      <c r="E27" s="18" t="inlineStr">
        <is>
          <r>
            <t xml:space="preserve">App-level and scan-level reports exportable as CSV, PDF, and HTML; selective export of findings. No white-label branding option confirmed. Source: </t>
          </r>
          <r>
            <rPr>
              <color rgb="000563C1"/>
              <u val="single"/>
            </rPr>
            <t>docs.rapid7.com/insightappsec/show-progress-with-reports</t>
          </r>
        </is>
      </c>
      <c r="F27" s="16" t="inlineStr">
        <is>
          <t>paper</t>
        </is>
      </c>
      <c r="G27" s="19" t="n"/>
      <c r="H27" s="20" t="n"/>
      <c r="I27" s="21" t="n"/>
      <c r="J27" s="19" t="n"/>
      <c r="K27" s="20" t="n"/>
      <c r="L27" s="21" t="n"/>
      <c r="M27" s="19" t="n"/>
      <c r="N27" s="20" t="n"/>
      <c r="O27" s="21" t="n"/>
      <c r="P27" s="19" t="n"/>
      <c r="Q27" s="20" t="n"/>
      <c r="R27" s="21" t="n"/>
      <c r="S27" s="19" t="n"/>
      <c r="T27" s="20" t="n"/>
      <c r="U27" s="21" t="n"/>
      <c r="V27" s="19" t="n"/>
      <c r="W27" s="20" t="n"/>
      <c r="X27" s="20" t="n"/>
      <c r="Y27" s="17">
        <f>IF(ISBLANK(V27),"",V27-D27)</f>
        <v/>
      </c>
      <c r="Z27" s="22" t="inlineStr">
        <is>
          <t>reporting-exportability</t>
        </is>
      </c>
      <c r="AA27" s="22" t="n">
        <v>0</v>
      </c>
      <c r="AB27" s="22">
        <f>IF(ISBLANK(V27),D27,V27)</f>
        <v/>
      </c>
    </row>
    <row r="28">
      <c r="A28" s="11" t="inlineStr">
        <is>
          <t>Scan Performance &amp; Scalability</t>
        </is>
      </c>
      <c r="B28" s="11" t="inlineStr">
        <is>
          <t>Production Safety &amp; Operability</t>
        </is>
      </c>
      <c r="C28" s="6" t="n">
        <v>2</v>
      </c>
      <c r="D28" s="6" t="n">
        <v>3.5</v>
      </c>
      <c r="E28" s="12" t="inlineStr">
        <is>
          <r>
            <t xml:space="preserve">Rapid7 published a dedicated blog post on improving InsightAppSec's scan speed and performance -- a real investment signal, though no specific benchmark number was found. Source: </t>
          </r>
          <r>
            <rPr>
              <color rgb="000563C1"/>
              <u val="single"/>
            </rPr>
            <t>rapid7.com/blog</t>
          </r>
          <r>
            <t xml:space="preserve"> scan speed post</t>
          </r>
        </is>
      </c>
      <c r="F28" s="11" t="inlineStr">
        <is>
          <t>paper</t>
        </is>
      </c>
      <c r="G28" s="13" t="n"/>
      <c r="H28" s="14" t="n"/>
      <c r="I28" s="15" t="n"/>
      <c r="J28" s="13" t="n"/>
      <c r="K28" s="14" t="n"/>
      <c r="L28" s="15" t="n"/>
      <c r="M28" s="13" t="n"/>
      <c r="N28" s="14" t="n"/>
      <c r="O28" s="15" t="n"/>
      <c r="P28" s="13" t="n"/>
      <c r="Q28" s="14" t="n"/>
      <c r="R28" s="15" t="n"/>
      <c r="S28" s="13" t="n"/>
      <c r="T28" s="14" t="n"/>
      <c r="U28" s="15" t="n"/>
      <c r="V28" s="13" t="n"/>
      <c r="W28" s="14" t="n"/>
      <c r="X28" s="14" t="n"/>
      <c r="Y28" s="6">
        <f>IF(ISBLANK(V28),"",V28-D28)</f>
        <v/>
      </c>
      <c r="Z28" t="inlineStr">
        <is>
          <t>scan-performance-scalability</t>
        </is>
      </c>
      <c r="AA28" t="n">
        <v>0</v>
      </c>
      <c r="AB28">
        <f>IF(ISBLANK(V28),D28,V28)</f>
        <v/>
      </c>
    </row>
    <row r="29">
      <c r="A29" s="16" t="inlineStr">
        <is>
          <t>Ticketing &amp; Collaboration Integration</t>
        </is>
      </c>
      <c r="B29" s="16" t="inlineStr">
        <is>
          <t>Reporting &amp; Extensibility</t>
        </is>
      </c>
      <c r="C29" s="17" t="n">
        <v>2</v>
      </c>
      <c r="D29" s="17" t="n">
        <v>3.5</v>
      </c>
      <c r="E29" s="18" t="inlineStr">
        <is>
          <r>
            <t xml:space="preserve">Jira integration confirmed (full developer visibility within existing workflows); no ServiceNow-specific integration confirmed this round. Source: original discovery notes citing </t>
          </r>
          <r>
            <rPr>
              <color rgb="000563C1"/>
              <u val="single"/>
            </rPr>
            <t>rapid7.com/products/insightappsec</t>
          </r>
        </is>
      </c>
      <c r="F29" s="16" t="inlineStr">
        <is>
          <t>paper</t>
        </is>
      </c>
      <c r="G29" s="19" t="n"/>
      <c r="H29" s="20" t="n"/>
      <c r="I29" s="21" t="n"/>
      <c r="J29" s="19" t="n"/>
      <c r="K29" s="20" t="n"/>
      <c r="L29" s="21" t="n"/>
      <c r="M29" s="19" t="n"/>
      <c r="N29" s="20" t="n"/>
      <c r="O29" s="21" t="n"/>
      <c r="P29" s="19" t="n"/>
      <c r="Q29" s="20" t="n"/>
      <c r="R29" s="21" t="n"/>
      <c r="S29" s="19" t="n"/>
      <c r="T29" s="20" t="n"/>
      <c r="U29" s="21" t="n"/>
      <c r="V29" s="19" t="n"/>
      <c r="W29" s="20" t="n"/>
      <c r="X29" s="20" t="n"/>
      <c r="Y29" s="17">
        <f>IF(ISBLANK(V29),"",V29-D29)</f>
        <v/>
      </c>
      <c r="Z29" s="22" t="inlineStr">
        <is>
          <t>ticketing-collaboration-integration</t>
        </is>
      </c>
      <c r="AA29" s="22" t="n">
        <v>0</v>
      </c>
      <c r="AB29" s="22">
        <f>IF(ISBLANK(V29),D29,V29)</f>
        <v/>
      </c>
    </row>
    <row r="30">
      <c r="A30" s="11" t="inlineStr">
        <is>
          <t>Third-Party/Partner API Risk Assessment</t>
        </is>
      </c>
      <c r="B30" s="11" t="inlineStr">
        <is>
          <t>Coverage</t>
        </is>
      </c>
      <c r="C30" s="6" t="n">
        <v>1</v>
      </c>
      <c r="D30" s="6" t="n">
        <v>1.5</v>
      </c>
      <c r="E30" s="12" t="inlineStr">
        <is>
          <r>
            <t xml:space="preserve">Confirmed absent after independent gap-check: no citable feature found; searches for InsightAppSec plus partner/open-banking/third-party-risk terms returned only generic industry TPRM content unrelated to Rapid7. Source: </t>
          </r>
          <r>
            <rPr>
              <color rgb="000563C1"/>
              <u val="single"/>
            </rPr>
            <t>rapid7.com/products/insightappsec</t>
          </r>
          <r>
            <t xml:space="preserve"> (no partner-API-specific feature found there or elsewhere)</t>
          </r>
        </is>
      </c>
      <c r="F30" s="11" t="inlineStr">
        <is>
          <t>paper</t>
        </is>
      </c>
      <c r="G30" s="13" t="n"/>
      <c r="H30" s="14" t="n"/>
      <c r="I30" s="15" t="n"/>
      <c r="J30" s="13" t="n"/>
      <c r="K30" s="14" t="n"/>
      <c r="L30" s="15" t="n"/>
      <c r="M30" s="13" t="n"/>
      <c r="N30" s="14" t="n"/>
      <c r="O30" s="15" t="n"/>
      <c r="P30" s="13" t="n"/>
      <c r="Q30" s="14" t="n"/>
      <c r="R30" s="15" t="n"/>
      <c r="S30" s="13" t="n"/>
      <c r="T30" s="14" t="n"/>
      <c r="U30" s="15" t="n"/>
      <c r="V30" s="13" t="n"/>
      <c r="W30" s="14" t="n"/>
      <c r="X30" s="14" t="n"/>
      <c r="Y30" s="6">
        <f>IF(ISBLANK(V30),"",V30-D30)</f>
        <v/>
      </c>
      <c r="Z30" t="inlineStr">
        <is>
          <t>third-party-partner-api-risk</t>
        </is>
      </c>
      <c r="AA30" t="n">
        <v>0</v>
      </c>
      <c r="AB30">
        <f>IF(ISBLANK(V30),D30,V30)</f>
        <v/>
      </c>
    </row>
    <row r="31">
      <c r="A31" s="16" t="inlineStr">
        <is>
          <t>Asset Discovery &amp; Inventory Tracking</t>
        </is>
      </c>
      <c r="B31" s="16" t="inlineStr">
        <is>
          <t>Coverage</t>
        </is>
      </c>
      <c r="C31" s="17" t="n">
        <v>1</v>
      </c>
      <c r="D31" s="17" t="n">
        <v>5</v>
      </c>
      <c r="E31" s="18" t="inlineStr">
        <is>
          <r>
            <t xml:space="preserve">Project Sonar-powered 'Application Discovery' actively surveys public IP ranges/domains (70+ services/protocols) to surface unknown or exposed internet-facing applications -- directly matches the rubric's top tier. Source: </t>
          </r>
          <r>
            <rPr>
              <color rgb="000563C1"/>
              <u val="single"/>
            </rPr>
            <t>rapid7.com/blog</t>
          </r>
          <r>
            <t xml:space="preserve"> Application Discovery post</t>
          </r>
        </is>
      </c>
      <c r="F31" s="16" t="inlineStr">
        <is>
          <t>paper</t>
        </is>
      </c>
      <c r="G31" s="19" t="n"/>
      <c r="H31" s="20" t="n"/>
      <c r="I31" s="21" t="n"/>
      <c r="J31" s="19" t="n"/>
      <c r="K31" s="20" t="n"/>
      <c r="L31" s="21" t="n"/>
      <c r="M31" s="19" t="n"/>
      <c r="N31" s="20" t="n"/>
      <c r="O31" s="21" t="n"/>
      <c r="P31" s="19" t="n"/>
      <c r="Q31" s="20" t="n"/>
      <c r="R31" s="21" t="n"/>
      <c r="S31" s="19" t="n"/>
      <c r="T31" s="20" t="n"/>
      <c r="U31" s="21" t="n"/>
      <c r="V31" s="19" t="n"/>
      <c r="W31" s="20" t="n"/>
      <c r="X31" s="20" t="n"/>
      <c r="Y31" s="17">
        <f>IF(ISBLANK(V31),"",V31-D31)</f>
        <v/>
      </c>
      <c r="Z31" s="22" t="inlineStr">
        <is>
          <t>asset-discovery-inventory</t>
        </is>
      </c>
      <c r="AA31" s="22" t="n">
        <v>0</v>
      </c>
      <c r="AB31" s="22">
        <f>IF(ISBLANK(V31),D31,V31)</f>
        <v/>
      </c>
    </row>
    <row r="32">
      <c r="A32" s="11" t="inlineStr">
        <is>
          <t>Extensibility / Custom Rules</t>
        </is>
      </c>
      <c r="B32" s="11" t="inlineStr">
        <is>
          <t>Reporting &amp; Extensibility</t>
        </is>
      </c>
      <c r="C32" s="6" t="n">
        <v>1</v>
      </c>
      <c r="D32" s="6" t="n">
        <v>3</v>
      </c>
      <c r="E32" s="12" t="inlineStr">
        <is>
          <r>
            <t xml:space="preserve">Custom attack templates (enable/disable attacks, adjust severity/max-findings/attack locations) and a False Positive Regex field for tuning -- real scan-configuration extensibility, not full custom-detection-rule authoring like a scripting engine. Source: </t>
          </r>
          <r>
            <rPr>
              <color rgb="000563C1"/>
              <u val="single"/>
            </rPr>
            <t>docs.rapid7.com/insightappsec/attack-templates</t>
          </r>
        </is>
      </c>
      <c r="F32" s="11" t="inlineStr">
        <is>
          <t>paper</t>
        </is>
      </c>
      <c r="G32" s="13" t="n"/>
      <c r="H32" s="14" t="n"/>
      <c r="I32" s="15" t="n"/>
      <c r="J32" s="13" t="n"/>
      <c r="K32" s="14" t="n"/>
      <c r="L32" s="15" t="n"/>
      <c r="M32" s="13" t="n"/>
      <c r="N32" s="14" t="n"/>
      <c r="O32" s="15" t="n"/>
      <c r="P32" s="13" t="n"/>
      <c r="Q32" s="14" t="n"/>
      <c r="R32" s="15" t="n"/>
      <c r="S32" s="13" t="n"/>
      <c r="T32" s="14" t="n"/>
      <c r="U32" s="15" t="n"/>
      <c r="V32" s="13" t="n"/>
      <c r="W32" s="14" t="n"/>
      <c r="X32" s="14" t="n"/>
      <c r="Y32" s="6">
        <f>IF(ISBLANK(V32),"",V32-D32)</f>
        <v/>
      </c>
      <c r="Z32" t="inlineStr">
        <is>
          <t>extensibility-custom-rules</t>
        </is>
      </c>
      <c r="AA32" t="n">
        <v>0</v>
      </c>
      <c r="AB32">
        <f>IF(ISBLANK(V32),D32,V32)</f>
        <v/>
      </c>
    </row>
    <row r="33">
      <c r="A33" s="16" t="inlineStr">
        <is>
          <t>IDE / Local Developer Tooling</t>
        </is>
      </c>
      <c r="B33" s="16" t="inlineStr">
        <is>
          <t>Developer Experience</t>
        </is>
      </c>
      <c r="C33" s="17" t="n">
        <v>1</v>
      </c>
      <c r="D33" s="17" t="n">
        <v>3.5</v>
      </c>
      <c r="E33" s="18" t="inlineStr">
        <is>
          <r>
            <t xml:space="preserve">A VS Code extension is confirmed on the Visual Studio Marketplace, but less documented depth (no pre-commit or real-time-feedback detail found) than some competitors' IDE tooling. Source: </t>
          </r>
          <r>
            <rPr>
              <color rgb="000563C1"/>
              <u val="single"/>
            </rPr>
            <t>marketplace.visualstudio.com/items?itemName=rapid7.rapid7-insightappsec-extension</t>
          </r>
        </is>
      </c>
      <c r="F33" s="16" t="inlineStr">
        <is>
          <t>paper</t>
        </is>
      </c>
      <c r="G33" s="19" t="n"/>
      <c r="H33" s="20" t="n"/>
      <c r="I33" s="21" t="n"/>
      <c r="J33" s="19" t="n"/>
      <c r="K33" s="20" t="n"/>
      <c r="L33" s="21" t="n"/>
      <c r="M33" s="19" t="n"/>
      <c r="N33" s="20" t="n"/>
      <c r="O33" s="21" t="n"/>
      <c r="P33" s="19" t="n"/>
      <c r="Q33" s="20" t="n"/>
      <c r="R33" s="21" t="n"/>
      <c r="S33" s="19" t="n"/>
      <c r="T33" s="20" t="n"/>
      <c r="U33" s="21" t="n"/>
      <c r="V33" s="19" t="n"/>
      <c r="W33" s="20" t="n"/>
      <c r="X33" s="20" t="n"/>
      <c r="Y33" s="17">
        <f>IF(ISBLANK(V33),"",V33-D33)</f>
        <v/>
      </c>
      <c r="Z33" s="22" t="inlineStr">
        <is>
          <t>ide-local-dev-tooling</t>
        </is>
      </c>
      <c r="AA33" s="22" t="n">
        <v>0</v>
      </c>
      <c r="AB33" s="22">
        <f>IF(ISBLANK(V33),D33,V33)</f>
        <v/>
      </c>
    </row>
    <row r="34">
      <c r="A34" s="11" t="inlineStr">
        <is>
          <t>SIEM/SOAR Integration</t>
        </is>
      </c>
      <c r="B34" s="11" t="inlineStr">
        <is>
          <t>Reporting &amp; Extensibility</t>
        </is>
      </c>
      <c r="C34" s="6" t="n">
        <v>1</v>
      </c>
      <c r="D34" s="6" t="n">
        <v>4.5</v>
      </c>
      <c r="E34" s="12" t="inlineStr">
        <is>
          <r>
            <t xml:space="preserve">Both sides confirmed: an official Rapid7 InsightAppSec Splunk Technology Add-On (SIEM) plus Rapid7's own native SOAR product (InsightConnect), with a listed 'Rapid7 InsightAppSec SOAR Actions' integration on the CrowdStrike Marketplace. Source: </t>
          </r>
          <r>
            <rPr>
              <color rgb="000563C1"/>
              <u val="single"/>
            </rPr>
            <t>splunkbase.splunk.com/app/7362</t>
          </r>
          <r>
            <t>, marketplace.crowdstrike.com</t>
          </r>
        </is>
      </c>
      <c r="F34" s="11" t="inlineStr">
        <is>
          <t>paper</t>
        </is>
      </c>
      <c r="G34" s="13" t="n"/>
      <c r="H34" s="14" t="n"/>
      <c r="I34" s="15" t="n"/>
      <c r="J34" s="13" t="n"/>
      <c r="K34" s="14" t="n"/>
      <c r="L34" s="15" t="n"/>
      <c r="M34" s="13" t="n"/>
      <c r="N34" s="14" t="n"/>
      <c r="O34" s="15" t="n"/>
      <c r="P34" s="13" t="n"/>
      <c r="Q34" s="14" t="n"/>
      <c r="R34" s="15" t="n"/>
      <c r="S34" s="13" t="n"/>
      <c r="T34" s="14" t="n"/>
      <c r="U34" s="15" t="n"/>
      <c r="V34" s="13" t="n"/>
      <c r="W34" s="14" t="n"/>
      <c r="X34" s="14" t="n"/>
      <c r="Y34" s="6">
        <f>IF(ISBLANK(V34),"",V34-D34)</f>
        <v/>
      </c>
      <c r="Z34" t="inlineStr">
        <is>
          <t>siem-soar-integration</t>
        </is>
      </c>
      <c r="AA34" t="n">
        <v>0</v>
      </c>
      <c r="AB34">
        <f>IF(ISBLANK(V34),D34,V34)</f>
        <v/>
      </c>
    </row>
    <row r="35">
      <c r="A35" s="16" t="inlineStr">
        <is>
          <t>Auto-Remediation / Auto-PR</t>
        </is>
      </c>
      <c r="B35" s="16" t="inlineStr">
        <is>
          <t>Developer Experience</t>
        </is>
      </c>
      <c r="C35" s="17" t="n">
        <v>0</v>
      </c>
      <c r="D35" s="17" t="n">
        <v>1</v>
      </c>
      <c r="E35" s="18" t="inlineStr">
        <is>
          <r>
            <t xml:space="preserve">Confirmed absent after independent gap-check: Attack Replay validates/reproduces a vulnerability but does not generate a code-level patch or open a pull request; no such capability found in docs or CI/CD integrations (Jenkins, GitHub Actions). Source: </t>
          </r>
          <r>
            <rPr>
              <color rgb="000563C1"/>
              <u val="single"/>
            </rPr>
            <t>docs.rapid7.com/insightappsec/test-vulnerability-remediation</t>
          </r>
        </is>
      </c>
      <c r="F35" s="16" t="inlineStr">
        <is>
          <t>paper</t>
        </is>
      </c>
      <c r="G35" s="19" t="n"/>
      <c r="H35" s="20" t="n"/>
      <c r="I35" s="21" t="n"/>
      <c r="J35" s="19" t="n"/>
      <c r="K35" s="20" t="n"/>
      <c r="L35" s="21" t="n"/>
      <c r="M35" s="19" t="n"/>
      <c r="N35" s="20" t="n"/>
      <c r="O35" s="21" t="n"/>
      <c r="P35" s="19" t="n"/>
      <c r="Q35" s="20" t="n"/>
      <c r="R35" s="21" t="n"/>
      <c r="S35" s="19" t="n"/>
      <c r="T35" s="20" t="n"/>
      <c r="U35" s="21" t="n"/>
      <c r="V35" s="19" t="n"/>
      <c r="W35" s="20" t="n"/>
      <c r="X35" s="20" t="n"/>
      <c r="Y35" s="17">
        <f>IF(ISBLANK(V35),"",V35-D35)</f>
        <v/>
      </c>
      <c r="Z35" s="22" t="inlineStr">
        <is>
          <t>auto-remediation-pr</t>
        </is>
      </c>
      <c r="AA35" s="22" t="n">
        <v>0</v>
      </c>
      <c r="AB35" s="22">
        <f>IF(ISBLANK(V35),D35,V35)</f>
        <v/>
      </c>
    </row>
    <row r="36">
      <c r="A36" s="11" t="inlineStr">
        <is>
          <t>Incremental / Differential Scanning</t>
        </is>
      </c>
      <c r="B36" s="11" t="inlineStr">
        <is>
          <t>Production Safety &amp; Operability</t>
        </is>
      </c>
      <c r="C36" s="6" t="n">
        <v>0</v>
      </c>
      <c r="D36" s="6" t="n">
        <v>5</v>
      </c>
      <c r="E36" s="12" t="inlineStr">
        <is>
          <r>
            <t xml:space="preserve">Explicit and direct: incremental scans reference the previous scan's crawl map and attack only new/updated links; the first incremental-enabled run establishes a full-scan baseline. Source: </t>
          </r>
          <r>
            <rPr>
              <color rgb="000563C1"/>
              <u val="single"/>
            </rPr>
            <t>docs.rapid7.com/insightappsec/attack-templates</t>
          </r>
        </is>
      </c>
      <c r="F36" s="11" t="inlineStr">
        <is>
          <t>paper</t>
        </is>
      </c>
      <c r="G36" s="13" t="n"/>
      <c r="H36" s="14" t="n"/>
      <c r="I36" s="15" t="n"/>
      <c r="J36" s="13" t="n"/>
      <c r="K36" s="14" t="n"/>
      <c r="L36" s="15" t="n"/>
      <c r="M36" s="13" t="n"/>
      <c r="N36" s="14" t="n"/>
      <c r="O36" s="15" t="n"/>
      <c r="P36" s="13" t="n"/>
      <c r="Q36" s="14" t="n"/>
      <c r="R36" s="15" t="n"/>
      <c r="S36" s="13" t="n"/>
      <c r="T36" s="14" t="n"/>
      <c r="U36" s="15" t="n"/>
      <c r="V36" s="13" t="n"/>
      <c r="W36" s="14" t="n"/>
      <c r="X36" s="14" t="n"/>
      <c r="Y36" s="6">
        <f>IF(ISBLANK(V36),"",V36-D36)</f>
        <v/>
      </c>
      <c r="Z36" t="inlineStr">
        <is>
          <t>incremental-differential-scanning</t>
        </is>
      </c>
      <c r="AA36" t="n">
        <v>0</v>
      </c>
      <c r="AB36">
        <f>IF(ISBLANK(V36),D36,V36)</f>
        <v/>
      </c>
    </row>
    <row r="37" ht="20" customHeight="1">
      <c r="A37" s="23" t="inlineStr">
        <is>
          <t>Summary</t>
        </is>
      </c>
    </row>
    <row r="38">
      <c r="A38" s="24" t="inlineStr">
        <is>
          <t>Coverage</t>
        </is>
      </c>
      <c r="B38" s="24" t="n"/>
      <c r="C38" s="24">
        <f>SUMPRODUCT((B4:B36="Coverage")*C4:C36*AB4:AB36*(1-AA4:AA36))/5</f>
        <v/>
      </c>
      <c r="D38" s="24">
        <f>TEXT(C38,"0.0")&amp;"/"&amp;TEXT(E38,"0")&amp;" available points"</f>
        <v/>
      </c>
      <c r="E38" s="24">
        <f>SUMPRODUCT((B4:B36="Coverage")*C4:C36*(1-AA4:AA36))</f>
        <v/>
      </c>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row>
    <row r="39">
      <c r="A39" t="inlineStr">
        <is>
          <t>Detection Quality</t>
        </is>
      </c>
      <c r="C39">
        <f>SUMPRODUCT((B4:B36="Detection Quality")*C4:C36*AB4:AB36*(1-AA4:AA36))/5</f>
        <v/>
      </c>
      <c r="D39">
        <f>TEXT(C39,"0.0")&amp;"/"&amp;TEXT(E39,"0")&amp;" available points"</f>
        <v/>
      </c>
      <c r="E39">
        <f>SUMPRODUCT((B4:B36="Detection Quality")*C4:C36*(1-AA4:AA36))</f>
        <v/>
      </c>
    </row>
    <row r="40">
      <c r="A40" t="inlineStr">
        <is>
          <t>Production Safety &amp; Operability</t>
        </is>
      </c>
      <c r="C40">
        <f>SUMPRODUCT((B4:B36="Production Safety &amp; Operability")*C4:C36*AB4:AB36*(1-AA4:AA36))/5</f>
        <v/>
      </c>
      <c r="D40">
        <f>TEXT(C40,"0.0")&amp;"/"&amp;TEXT(E40,"0")&amp;" available points"</f>
        <v/>
      </c>
      <c r="E40">
        <f>SUMPRODUCT((B4:B36="Production Safety &amp; Operability")*C4:C36*(1-AA4:AA36))</f>
        <v/>
      </c>
    </row>
    <row r="41">
      <c r="A41" t="inlineStr">
        <is>
          <t>Developer Experience</t>
        </is>
      </c>
      <c r="C41">
        <f>SUMPRODUCT((B4:B36="Developer Experience")*C4:C36*AB4:AB36*(1-AA4:AA36))/5</f>
        <v/>
      </c>
      <c r="D41">
        <f>TEXT(C41,"0.0")&amp;"/"&amp;TEXT(E41,"0")&amp;" available points"</f>
        <v/>
      </c>
      <c r="E41">
        <f>SUMPRODUCT((B4:B36="Developer Experience")*C4:C36*(1-AA4:AA36))</f>
        <v/>
      </c>
    </row>
    <row r="42">
      <c r="A42" t="inlineStr">
        <is>
          <t>Reporting &amp; Extensibility</t>
        </is>
      </c>
      <c r="C42">
        <f>SUMPRODUCT((B4:B36="Reporting &amp; Extensibility")*C4:C36*AB4:AB36*(1-AA4:AA36))/5</f>
        <v/>
      </c>
      <c r="D42">
        <f>TEXT(C42,"0.0")&amp;"/"&amp;TEXT(E42,"0")&amp;" available points"</f>
        <v/>
      </c>
      <c r="E42">
        <f>SUMPRODUCT((B4:B36="Reporting &amp; Extensibility")*C4:C36*(1-AA4:AA36))</f>
        <v/>
      </c>
    </row>
    <row r="43">
      <c r="A43" t="inlineStr">
        <is>
          <t>Deployment &amp; Data Governance</t>
        </is>
      </c>
      <c r="C43">
        <f>SUMPRODUCT((B4:B36="Deployment &amp; Data Governance")*C4:C36*AB4:AB36*(1-AA4:AA36))/5</f>
        <v/>
      </c>
      <c r="D43">
        <f>TEXT(C43,"0.0")&amp;"/"&amp;TEXT(E43,"0")&amp;" available points"</f>
        <v/>
      </c>
      <c r="E43">
        <f>SUMPRODUCT((B4:B36="Deployment &amp; Data Governance")*C4:C36*(1-AA4:AA36))</f>
        <v/>
      </c>
    </row>
    <row r="44">
      <c r="A44" t="inlineStr">
        <is>
          <t>Weighted Total</t>
        </is>
      </c>
      <c r="C44">
        <f>SUMPRODUCT(C4:C36,AB4:AB36,(1-AA4:AA36))/5</f>
        <v/>
      </c>
      <c r="D44">
        <f>TEXT(C44,"0.0")&amp;"/"&amp;TEXT(E44,"0")&amp;" available points"</f>
        <v/>
      </c>
      <c r="E44">
        <f>SUMPRODUCT(C4:C36,(1-AA4:AA36))</f>
        <v/>
      </c>
    </row>
  </sheetData>
  <sheetProtection selectLockedCells="0" selectUnlockedCells="0" sheet="1" objects="0" insertRows="1" insertHyperlinks="1" autoFilter="1" scenarios="0" formatColumns="1" deleteColumns="1" insertColumns="1" pivotTables="1" deleteRows="1" formatCells="1" formatRows="1" sort="1"/>
  <mergeCells count="5">
    <mergeCell ref="G2:I2"/>
    <mergeCell ref="J2:L2"/>
    <mergeCell ref="P2:R2"/>
    <mergeCell ref="M2:O2"/>
    <mergeCell ref="S2:U2"/>
  </mergeCells>
  <conditionalFormatting sqref="G4">
    <cfRule type="cellIs" priority="1" operator="equal" dxfId="0">
      <formula>""</formula>
    </cfRule>
  </conditionalFormatting>
  <conditionalFormatting sqref="J4">
    <cfRule type="cellIs" priority="2" operator="equal" dxfId="0">
      <formula>""</formula>
    </cfRule>
  </conditionalFormatting>
  <conditionalFormatting sqref="M4">
    <cfRule type="cellIs" priority="3" operator="equal" dxfId="0">
      <formula>""</formula>
    </cfRule>
  </conditionalFormatting>
  <conditionalFormatting sqref="P4">
    <cfRule type="cellIs" priority="4" operator="equal" dxfId="0">
      <formula>""</formula>
    </cfRule>
  </conditionalFormatting>
  <conditionalFormatting sqref="S4">
    <cfRule type="cellIs" priority="5" operator="equal" dxfId="0">
      <formula>""</formula>
    </cfRule>
  </conditionalFormatting>
  <conditionalFormatting sqref="V4">
    <cfRule type="cellIs" priority="6" operator="equal" dxfId="0">
      <formula>""</formula>
    </cfRule>
  </conditionalFormatting>
  <conditionalFormatting sqref="G5">
    <cfRule type="cellIs" priority="7" operator="equal" dxfId="0">
      <formula>""</formula>
    </cfRule>
  </conditionalFormatting>
  <conditionalFormatting sqref="J5">
    <cfRule type="cellIs" priority="8" operator="equal" dxfId="0">
      <formula>""</formula>
    </cfRule>
  </conditionalFormatting>
  <conditionalFormatting sqref="M5">
    <cfRule type="cellIs" priority="9" operator="equal" dxfId="0">
      <formula>""</formula>
    </cfRule>
  </conditionalFormatting>
  <conditionalFormatting sqref="P5">
    <cfRule type="cellIs" priority="10" operator="equal" dxfId="0">
      <formula>""</formula>
    </cfRule>
  </conditionalFormatting>
  <conditionalFormatting sqref="S5">
    <cfRule type="cellIs" priority="11" operator="equal" dxfId="0">
      <formula>""</formula>
    </cfRule>
  </conditionalFormatting>
  <conditionalFormatting sqref="V5">
    <cfRule type="cellIs" priority="12" operator="equal" dxfId="0">
      <formula>""</formula>
    </cfRule>
  </conditionalFormatting>
  <conditionalFormatting sqref="G6">
    <cfRule type="cellIs" priority="13" operator="equal" dxfId="0">
      <formula>""</formula>
    </cfRule>
  </conditionalFormatting>
  <conditionalFormatting sqref="J6">
    <cfRule type="cellIs" priority="14" operator="equal" dxfId="0">
      <formula>""</formula>
    </cfRule>
  </conditionalFormatting>
  <conditionalFormatting sqref="M6">
    <cfRule type="cellIs" priority="15" operator="equal" dxfId="0">
      <formula>""</formula>
    </cfRule>
  </conditionalFormatting>
  <conditionalFormatting sqref="P6">
    <cfRule type="cellIs" priority="16" operator="equal" dxfId="0">
      <formula>""</formula>
    </cfRule>
  </conditionalFormatting>
  <conditionalFormatting sqref="S6">
    <cfRule type="cellIs" priority="17" operator="equal" dxfId="0">
      <formula>""</formula>
    </cfRule>
  </conditionalFormatting>
  <conditionalFormatting sqref="V6">
    <cfRule type="cellIs" priority="18" operator="equal" dxfId="0">
      <formula>""</formula>
    </cfRule>
  </conditionalFormatting>
  <conditionalFormatting sqref="G7">
    <cfRule type="cellIs" priority="19" operator="equal" dxfId="0">
      <formula>""</formula>
    </cfRule>
  </conditionalFormatting>
  <conditionalFormatting sqref="J7">
    <cfRule type="cellIs" priority="20" operator="equal" dxfId="0">
      <formula>""</formula>
    </cfRule>
  </conditionalFormatting>
  <conditionalFormatting sqref="M7">
    <cfRule type="cellIs" priority="21" operator="equal" dxfId="0">
      <formula>""</formula>
    </cfRule>
  </conditionalFormatting>
  <conditionalFormatting sqref="P7">
    <cfRule type="cellIs" priority="22" operator="equal" dxfId="0">
      <formula>""</formula>
    </cfRule>
  </conditionalFormatting>
  <conditionalFormatting sqref="S7">
    <cfRule type="cellIs" priority="23" operator="equal" dxfId="0">
      <formula>""</formula>
    </cfRule>
  </conditionalFormatting>
  <conditionalFormatting sqref="V7">
    <cfRule type="cellIs" priority="24" operator="equal" dxfId="0">
      <formula>""</formula>
    </cfRule>
  </conditionalFormatting>
  <conditionalFormatting sqref="G8">
    <cfRule type="cellIs" priority="25" operator="equal" dxfId="0">
      <formula>""</formula>
    </cfRule>
  </conditionalFormatting>
  <conditionalFormatting sqref="J8">
    <cfRule type="cellIs" priority="26" operator="equal" dxfId="0">
      <formula>""</formula>
    </cfRule>
  </conditionalFormatting>
  <conditionalFormatting sqref="M8">
    <cfRule type="cellIs" priority="27" operator="equal" dxfId="0">
      <formula>""</formula>
    </cfRule>
  </conditionalFormatting>
  <conditionalFormatting sqref="P8">
    <cfRule type="cellIs" priority="28" operator="equal" dxfId="0">
      <formula>""</formula>
    </cfRule>
  </conditionalFormatting>
  <conditionalFormatting sqref="S8">
    <cfRule type="cellIs" priority="29" operator="equal" dxfId="0">
      <formula>""</formula>
    </cfRule>
  </conditionalFormatting>
  <conditionalFormatting sqref="V8">
    <cfRule type="cellIs" priority="30" operator="equal" dxfId="0">
      <formula>""</formula>
    </cfRule>
  </conditionalFormatting>
  <conditionalFormatting sqref="G9">
    <cfRule type="cellIs" priority="31" operator="equal" dxfId="0">
      <formula>""</formula>
    </cfRule>
  </conditionalFormatting>
  <conditionalFormatting sqref="J9">
    <cfRule type="cellIs" priority="32" operator="equal" dxfId="0">
      <formula>""</formula>
    </cfRule>
  </conditionalFormatting>
  <conditionalFormatting sqref="M9">
    <cfRule type="cellIs" priority="33" operator="equal" dxfId="0">
      <formula>""</formula>
    </cfRule>
  </conditionalFormatting>
  <conditionalFormatting sqref="P9">
    <cfRule type="cellIs" priority="34" operator="equal" dxfId="0">
      <formula>""</formula>
    </cfRule>
  </conditionalFormatting>
  <conditionalFormatting sqref="S9">
    <cfRule type="cellIs" priority="35" operator="equal" dxfId="0">
      <formula>""</formula>
    </cfRule>
  </conditionalFormatting>
  <conditionalFormatting sqref="V9">
    <cfRule type="cellIs" priority="36" operator="equal" dxfId="0">
      <formula>""</formula>
    </cfRule>
  </conditionalFormatting>
  <conditionalFormatting sqref="G10">
    <cfRule type="cellIs" priority="37" operator="equal" dxfId="0">
      <formula>""</formula>
    </cfRule>
  </conditionalFormatting>
  <conditionalFormatting sqref="J10">
    <cfRule type="cellIs" priority="38" operator="equal" dxfId="0">
      <formula>""</formula>
    </cfRule>
  </conditionalFormatting>
  <conditionalFormatting sqref="M10">
    <cfRule type="cellIs" priority="39" operator="equal" dxfId="0">
      <formula>""</formula>
    </cfRule>
  </conditionalFormatting>
  <conditionalFormatting sqref="P10">
    <cfRule type="cellIs" priority="40" operator="equal" dxfId="0">
      <formula>""</formula>
    </cfRule>
  </conditionalFormatting>
  <conditionalFormatting sqref="S10">
    <cfRule type="cellIs" priority="41" operator="equal" dxfId="0">
      <formula>""</formula>
    </cfRule>
  </conditionalFormatting>
  <conditionalFormatting sqref="V10">
    <cfRule type="cellIs" priority="42" operator="equal" dxfId="0">
      <formula>""</formula>
    </cfRule>
  </conditionalFormatting>
  <conditionalFormatting sqref="G11">
    <cfRule type="cellIs" priority="43" operator="equal" dxfId="0">
      <formula>""</formula>
    </cfRule>
  </conditionalFormatting>
  <conditionalFormatting sqref="J11">
    <cfRule type="cellIs" priority="44" operator="equal" dxfId="0">
      <formula>""</formula>
    </cfRule>
  </conditionalFormatting>
  <conditionalFormatting sqref="M11">
    <cfRule type="cellIs" priority="45" operator="equal" dxfId="0">
      <formula>""</formula>
    </cfRule>
  </conditionalFormatting>
  <conditionalFormatting sqref="P11">
    <cfRule type="cellIs" priority="46" operator="equal" dxfId="0">
      <formula>""</formula>
    </cfRule>
  </conditionalFormatting>
  <conditionalFormatting sqref="S11">
    <cfRule type="cellIs" priority="47" operator="equal" dxfId="0">
      <formula>""</formula>
    </cfRule>
  </conditionalFormatting>
  <conditionalFormatting sqref="V11">
    <cfRule type="cellIs" priority="48" operator="equal" dxfId="0">
      <formula>""</formula>
    </cfRule>
  </conditionalFormatting>
  <conditionalFormatting sqref="G12">
    <cfRule type="cellIs" priority="49" operator="equal" dxfId="0">
      <formula>""</formula>
    </cfRule>
  </conditionalFormatting>
  <conditionalFormatting sqref="J12">
    <cfRule type="cellIs" priority="50" operator="equal" dxfId="0">
      <formula>""</formula>
    </cfRule>
  </conditionalFormatting>
  <conditionalFormatting sqref="M12">
    <cfRule type="cellIs" priority="51" operator="equal" dxfId="0">
      <formula>""</formula>
    </cfRule>
  </conditionalFormatting>
  <conditionalFormatting sqref="P12">
    <cfRule type="cellIs" priority="52" operator="equal" dxfId="0">
      <formula>""</formula>
    </cfRule>
  </conditionalFormatting>
  <conditionalFormatting sqref="S12">
    <cfRule type="cellIs" priority="53" operator="equal" dxfId="0">
      <formula>""</formula>
    </cfRule>
  </conditionalFormatting>
  <conditionalFormatting sqref="V12">
    <cfRule type="cellIs" priority="54" operator="equal" dxfId="0">
      <formula>""</formula>
    </cfRule>
  </conditionalFormatting>
  <conditionalFormatting sqref="G13">
    <cfRule type="cellIs" priority="55" operator="equal" dxfId="0">
      <formula>""</formula>
    </cfRule>
  </conditionalFormatting>
  <conditionalFormatting sqref="J13">
    <cfRule type="cellIs" priority="56" operator="equal" dxfId="0">
      <formula>""</formula>
    </cfRule>
  </conditionalFormatting>
  <conditionalFormatting sqref="M13">
    <cfRule type="cellIs" priority="57" operator="equal" dxfId="0">
      <formula>""</formula>
    </cfRule>
  </conditionalFormatting>
  <conditionalFormatting sqref="P13">
    <cfRule type="cellIs" priority="58" operator="equal" dxfId="0">
      <formula>""</formula>
    </cfRule>
  </conditionalFormatting>
  <conditionalFormatting sqref="S13">
    <cfRule type="cellIs" priority="59" operator="equal" dxfId="0">
      <formula>""</formula>
    </cfRule>
  </conditionalFormatting>
  <conditionalFormatting sqref="V13">
    <cfRule type="cellIs" priority="60" operator="equal" dxfId="0">
      <formula>""</formula>
    </cfRule>
  </conditionalFormatting>
  <dataValidations count="2">
    <dataValidation sqref="G4 G5 G6 G7 G8 G9 G10 G11 G12 G13 G14 G15 G16 G17 G18 G19 G20 G21 G22 G23 G24 G25 G26 G27 G28 G29 G30 G31 G32 G33 G34 G35 G36 J4 J5 J6 J7 J8 J9 J10 J11 J12 J13 J14 J15 J16 J17 J18 J19 J20 J21 J22 J23 J24 J25 J26 J27 J28 J29 J30 J31 J32 J33 J34 J35 J36 M4 M5 M6 M7 M8 M9 M10 M11 M12 M13 M14 M15 M16 M17 M18 M19 M20 M21 M22 M23 M24 M25 M26 M27 M28 M29 M30 M31 M32 M33 M34 M35 M36 P4 P5 P6 P7 P8 P9 P10 P11 P12 P13 P14 P15 P16 P17 P18 P19 P20 P21 P22 P23 P24 P25 P26 P27 P28 P29 P30 P31 P32 P33 P34 P35 P36 S4 S5 S6 S7 S8 S9 S10 S11 S12 S13 S14 S15 S16 S17 S18 S19 S20 S21 S22 S23 S24 S25 S26 S27 S28 S29 S30 S31 S32 S33 S34 S35 S36 V4 V5 V6 V7 V8 V9 V10 V11 V12 V13 V14 V15 V16 V17 V18 V19 V20 V21 V22 V23 V24 V25 V26 V27 V28 V29 V30 V31 V32 V33 V34 V35 V36" showDropDown="0" showInputMessage="0" showErrorMessage="1" allowBlank="1" errorTitle="Invalid score" error="Score must be one of: 1.0, 1.5, 2.0, 2.5, 3.0, 3.5, 4.0, 4.5, 5.0" type="list" errorStyle="stop">
      <formula1>"1.0,1.5,2.0,2.5,3.0,3.5,4.0,4.5,5.0"</formula1>
    </dataValidation>
    <dataValidation sqref="H4 H5 H6 H7 H8 H9 H10 H11 H12 H13 H14 H15 H16 H17 H18 H19 H20 H21 H22 H23 H24 H25 H26 H27 H28 H29 H30 H31 H32 H33 H34 H35 H36 K4 K5 K6 K7 K8 K9 K10 K11 K12 K13 K14 K15 K16 K17 K18 K19 K20 K21 K22 K23 K24 K25 K26 K27 K28 K29 K30 K31 K32 K33 K34 K35 K36 N4 N5 N6 N7 N8 N9 N10 N11 N12 N13 N14 N15 N16 N17 N18 N19 N20 N21 N22 N23 N24 N25 N26 N27 N28 N29 N30 N31 N32 N33 N34 N35 N36 Q4 Q5 Q6 Q7 Q8 Q9 Q10 Q11 Q12 Q13 Q14 Q15 Q16 Q17 Q18 Q19 Q20 Q21 Q22 Q23 Q24 Q25 Q26 Q27 Q28 Q29 Q30 Q31 Q32 Q33 Q34 Q35 Q36 T4 T5 T6 T7 T8 T9 T10 T11 T12 T13 T14 T15 T16 T17 T18 T19 T20 T21 T22 T23 T24 T25 T26 T27 T28 T29 T30 T31 T32 T33 T34 T35 T36" showDropDown="0" showInputMessage="0" showErrorMessage="1" allowBlank="1" errorTitle="Invalid entry" error="Value must be &quot;Yes&quot; (or left blank)." type="list" errorStyle="stop">
      <formula1>"Yes"</formula1>
    </dataValidation>
  </dataValidation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s>
  <pageMargins left="0.75" right="0.75" top="1" bottom="1" header="0.5" footer="0.5"/>
</worksheet>
</file>

<file path=xl/worksheets/sheet11.xml><?xml version="1.0" encoding="utf-8"?>
<worksheet xmlns="http://schemas.openxmlformats.org/spreadsheetml/2006/main">
  <sheetPr>
    <tabColor rgb="00F18F01"/>
    <outlinePr summaryBelow="1" summaryRight="1"/>
    <pageSetUpPr/>
  </sheetPr>
  <dimension ref="A1:AB44"/>
  <sheetViews>
    <sheetView workbookViewId="0">
      <pane xSplit="6" ySplit="3" topLeftCell="G4"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10" customWidth="1" min="3" max="3"/>
    <col width="14" customWidth="1" min="4" max="4"/>
    <col width="45" customWidth="1" min="5" max="5"/>
    <col width="16" customWidth="1" min="6" max="6"/>
    <col width="12" customWidth="1" min="7" max="7"/>
    <col width="12" customWidth="1" min="8" max="8"/>
    <col width="40" customWidth="1" min="9" max="9"/>
    <col width="12" customWidth="1" min="10" max="10"/>
    <col width="12" customWidth="1" min="11" max="11"/>
    <col width="40" customWidth="1" min="12" max="12"/>
    <col width="12" customWidth="1" min="13" max="13"/>
    <col width="12" customWidth="1" min="14" max="14"/>
    <col width="40" customWidth="1" min="15" max="15"/>
    <col width="12" customWidth="1" min="16" max="16"/>
    <col width="12" customWidth="1" min="17" max="17"/>
    <col width="40" customWidth="1" min="18" max="18"/>
    <col width="12" customWidth="1" min="19" max="19"/>
    <col width="12" customWidth="1" min="20" max="20"/>
    <col width="40" customWidth="1" min="21" max="21"/>
    <col width="14" customWidth="1" min="22" max="22"/>
    <col width="16" customWidth="1" min="23" max="23"/>
    <col width="18" customWidth="1" min="24" max="24"/>
    <col width="14" customWidth="1" min="25" max="25"/>
    <col hidden="1" width="13" customWidth="1" min="26" max="26"/>
    <col hidden="1" width="13" customWidth="1" min="27" max="27"/>
    <col hidden="1" width="13" customWidth="1" min="28" max="28"/>
  </cols>
  <sheetData>
    <row r="1" ht="28" customHeight="1">
      <c r="A1" s="1" t="inlineStr">
        <is>
          <t>Qualys WAS</t>
        </is>
      </c>
    </row>
    <row r="2" ht="24" customHeight="1">
      <c r="G2" s="3">
        <f>IF(Reviewers!B6="","Unassigned — see Reviewers tab",Reviewers!B6&amp;" - "&amp;Reviewers!C6)</f>
        <v/>
      </c>
      <c r="J2" s="3">
        <f>IF(Reviewers!B7="","Unassigned — see Reviewers tab",Reviewers!B7&amp;" - "&amp;Reviewers!C7)</f>
        <v/>
      </c>
      <c r="M2" s="3">
        <f>IF(Reviewers!B8="","Unassigned — see Reviewers tab",Reviewers!B8&amp;" - "&amp;Reviewers!C8)</f>
        <v/>
      </c>
      <c r="P2" s="3">
        <f>IF(Reviewers!B9="","Unassigned — see Reviewers tab",Reviewers!B9&amp;" - "&amp;Reviewers!C9)</f>
        <v/>
      </c>
      <c r="S2" s="3">
        <f>IF(Reviewers!B10="","Unassigned — see Reviewers tab",Reviewers!B10&amp;" - "&amp;Reviewers!C10)</f>
        <v/>
      </c>
    </row>
    <row r="3" ht="36" customHeight="1">
      <c r="A3" s="3" t="inlineStr">
        <is>
          <t>Criterion</t>
        </is>
      </c>
      <c r="B3" s="3" t="inlineStr">
        <is>
          <t>Category</t>
        </is>
      </c>
      <c r="C3" s="3" t="inlineStr">
        <is>
          <t>Weight</t>
        </is>
      </c>
      <c r="D3" s="3" t="inlineStr">
        <is>
          <t>Automated Score</t>
        </is>
      </c>
      <c r="E3" s="3" t="inlineStr">
        <is>
          <t>Automated Evidence</t>
        </is>
      </c>
      <c r="F3" s="3" t="inlineStr">
        <is>
          <t>Automated Confidence</t>
        </is>
      </c>
      <c r="G3" s="3" t="inlineStr">
        <is>
          <t>Score</t>
        </is>
      </c>
      <c r="H3" s="3" t="inlineStr">
        <is>
          <t>Dispute?</t>
        </is>
      </c>
      <c r="I3" s="3" t="inlineStr">
        <is>
          <t>Rationale</t>
        </is>
      </c>
      <c r="J3" s="3" t="inlineStr">
        <is>
          <t>Score</t>
        </is>
      </c>
      <c r="K3" s="3" t="inlineStr">
        <is>
          <t>Dispute?</t>
        </is>
      </c>
      <c r="L3" s="3" t="inlineStr">
        <is>
          <t>Rationale</t>
        </is>
      </c>
      <c r="M3" s="3" t="inlineStr">
        <is>
          <t>Score</t>
        </is>
      </c>
      <c r="N3" s="3" t="inlineStr">
        <is>
          <t>Dispute?</t>
        </is>
      </c>
      <c r="O3" s="3" t="inlineStr">
        <is>
          <t>Rationale</t>
        </is>
      </c>
      <c r="P3" s="3" t="inlineStr">
        <is>
          <t>Score</t>
        </is>
      </c>
      <c r="Q3" s="3" t="inlineStr">
        <is>
          <t>Dispute?</t>
        </is>
      </c>
      <c r="R3" s="3" t="inlineStr">
        <is>
          <t>Rationale</t>
        </is>
      </c>
      <c r="S3" s="3" t="inlineStr">
        <is>
          <t>Score</t>
        </is>
      </c>
      <c r="T3" s="3" t="inlineStr">
        <is>
          <t>Dispute?</t>
        </is>
      </c>
      <c r="U3" s="3" t="inlineStr">
        <is>
          <t>Rationale</t>
        </is>
      </c>
      <c r="V3" s="3" t="inlineStr">
        <is>
          <t>Resolved Score</t>
        </is>
      </c>
      <c r="W3" s="3" t="inlineStr">
        <is>
          <t>Resolved By</t>
        </is>
      </c>
      <c r="X3" s="3" t="inlineStr">
        <is>
          <t>Resolved Timestamp</t>
        </is>
      </c>
      <c r="Y3" s="3" t="inlineStr">
        <is>
          <t>Automated vs. Resolved Delta</t>
        </is>
      </c>
      <c r="Z3" s="3" t="inlineStr">
        <is>
          <t>_criterion_id</t>
        </is>
      </c>
      <c r="AA3" s="3" t="inlineStr">
        <is>
          <t>_pending</t>
        </is>
      </c>
      <c r="AB3" s="3" t="inlineStr">
        <is>
          <t>_effective_score</t>
        </is>
      </c>
    </row>
    <row r="4">
      <c r="A4" s="11" t="inlineStr">
        <is>
          <t>Detection Accuracy</t>
        </is>
      </c>
      <c r="B4" s="11" t="inlineStr">
        <is>
          <t>Detection Quality</t>
        </is>
      </c>
      <c r="C4" s="6" t="n">
        <v>7</v>
      </c>
      <c r="D4" s="6" t="n">
        <v>3</v>
      </c>
      <c r="E4" s="12" t="inlineStr">
        <is>
          <r>
            <t xml:space="preserve">Vendor claims a 96% detection rate via ML-optimized scan patterns -- self-reported, not independently benchmarked. Source: </t>
          </r>
          <r>
            <rPr>
              <color rgb="000563C1"/>
              <u val="single"/>
            </rPr>
            <t>qualys.com/apps/web-app-scanning</t>
          </r>
        </is>
      </c>
      <c r="F4" s="11" t="inlineStr">
        <is>
          <t>paper</t>
        </is>
      </c>
      <c r="G4" s="13" t="n"/>
      <c r="H4" s="14" t="n"/>
      <c r="I4" s="15" t="n"/>
      <c r="J4" s="13" t="n"/>
      <c r="K4" s="14" t="n"/>
      <c r="L4" s="15" t="n"/>
      <c r="M4" s="13" t="n"/>
      <c r="N4" s="14" t="n"/>
      <c r="O4" s="15" t="n"/>
      <c r="P4" s="13" t="n"/>
      <c r="Q4" s="14" t="n"/>
      <c r="R4" s="15" t="n"/>
      <c r="S4" s="13" t="n"/>
      <c r="T4" s="14" t="n"/>
      <c r="U4" s="15" t="n"/>
      <c r="V4" s="13" t="n"/>
      <c r="W4" s="14" t="n"/>
      <c r="X4" s="14" t="n"/>
      <c r="Y4" s="6">
        <f>IF(ISBLANK(V4),"",V4-D4)</f>
        <v/>
      </c>
      <c r="Z4" t="inlineStr">
        <is>
          <t>detection-accuracy</t>
        </is>
      </c>
      <c r="AA4" t="n">
        <v>0</v>
      </c>
      <c r="AB4">
        <f>IF(ISBLANK(V4),D4,V4)</f>
        <v/>
      </c>
    </row>
    <row r="5">
      <c r="A5" s="16" t="inlineStr">
        <is>
          <t>Authentication &amp; Session Handling</t>
        </is>
      </c>
      <c r="B5" s="16" t="inlineStr">
        <is>
          <t>Coverage</t>
        </is>
      </c>
      <c r="C5" s="17" t="n">
        <v>6</v>
      </c>
      <c r="D5" s="17" t="n">
        <v>3.5</v>
      </c>
      <c r="E5" s="18" t="inlineStr">
        <is>
          <r>
            <t xml:space="preserve">TOTP MFA is automatable; other MFA/SSO requires manual session-cookie extraction or a Selenium script played back at the browser level (technology-agnostic to SAML/OAuth/CAS) -- Qualys itself discloses it cannot automate 2FA/MFA beyond TOTP. Source: </t>
          </r>
          <r>
            <rPr>
              <color rgb="000563C1"/>
              <u val="single"/>
            </rPr>
            <t>success.qualys.com</t>
          </r>
          <r>
            <t xml:space="preserve"> discussions on SSO/MFA handling</t>
          </r>
        </is>
      </c>
      <c r="F5" s="16" t="inlineStr">
        <is>
          <t>paper</t>
        </is>
      </c>
      <c r="G5" s="19" t="n"/>
      <c r="H5" s="20" t="n"/>
      <c r="I5" s="21" t="n"/>
      <c r="J5" s="19" t="n"/>
      <c r="K5" s="20" t="n"/>
      <c r="L5" s="21" t="n"/>
      <c r="M5" s="19" t="n"/>
      <c r="N5" s="20" t="n"/>
      <c r="O5" s="21" t="n"/>
      <c r="P5" s="19" t="n"/>
      <c r="Q5" s="20" t="n"/>
      <c r="R5" s="21" t="n"/>
      <c r="S5" s="19" t="n"/>
      <c r="T5" s="20" t="n"/>
      <c r="U5" s="21" t="n"/>
      <c r="V5" s="19" t="n"/>
      <c r="W5" s="20" t="n"/>
      <c r="X5" s="20" t="n"/>
      <c r="Y5" s="17">
        <f>IF(ISBLANK(V5),"",V5-D5)</f>
        <v/>
      </c>
      <c r="Z5" s="22" t="inlineStr">
        <is>
          <t>auth-session-handling</t>
        </is>
      </c>
      <c r="AA5" s="22" t="n">
        <v>0</v>
      </c>
      <c r="AB5" s="22">
        <f>IF(ISBLANK(V5),D5,V5)</f>
        <v/>
      </c>
    </row>
    <row r="6">
      <c r="A6" s="11" t="inlineStr">
        <is>
          <t>Safe Production Scanning</t>
        </is>
      </c>
      <c r="B6" s="11" t="inlineStr">
        <is>
          <t>Production Safety &amp; Operability</t>
        </is>
      </c>
      <c r="C6" s="6" t="n">
        <v>6</v>
      </c>
      <c r="D6" s="6" t="n">
        <v>3</v>
      </c>
      <c r="E6" s="12" t="inlineStr">
        <is>
          <r>
            <t xml:space="preserve">Only a 'Discovery scan' vs. 'Vulnerability scan' mode distinction was found; no explicit passive-mode/rate-limiting documentation located for WAS specifically -- a genuine research gap relative to other vendors scored so far. Source: </t>
          </r>
          <r>
            <rPr>
              <color rgb="000563C1"/>
              <u val="single"/>
            </rPr>
            <t>cdn2.qualys.com/docs/qualys-was-getting-started-guide.pdf</t>
          </r>
        </is>
      </c>
      <c r="F6" s="11" t="inlineStr">
        <is>
          <t>paper</t>
        </is>
      </c>
      <c r="G6" s="13" t="n"/>
      <c r="H6" s="14" t="n"/>
      <c r="I6" s="15" t="n"/>
      <c r="J6" s="13" t="n"/>
      <c r="K6" s="14" t="n"/>
      <c r="L6" s="15" t="n"/>
      <c r="M6" s="13" t="n"/>
      <c r="N6" s="14" t="n"/>
      <c r="O6" s="15" t="n"/>
      <c r="P6" s="13" t="n"/>
      <c r="Q6" s="14" t="n"/>
      <c r="R6" s="15" t="n"/>
      <c r="S6" s="13" t="n"/>
      <c r="T6" s="14" t="n"/>
      <c r="U6" s="15" t="n"/>
      <c r="V6" s="13" t="n"/>
      <c r="W6" s="14" t="n"/>
      <c r="X6" s="14" t="n"/>
      <c r="Y6" s="6">
        <f>IF(ISBLANK(V6),"",V6-D6)</f>
        <v/>
      </c>
      <c r="Z6" t="inlineStr">
        <is>
          <t>safe-prod-scanning</t>
        </is>
      </c>
      <c r="AA6" t="n">
        <v>0</v>
      </c>
      <c r="AB6">
        <f>IF(ISBLANK(V6),D6,V6)</f>
        <v/>
      </c>
    </row>
    <row r="7">
      <c r="A7" s="16" t="inlineStr">
        <is>
          <t>API/SPA Coverage</t>
        </is>
      </c>
      <c r="B7" s="16" t="inlineStr">
        <is>
          <t>Coverage</t>
        </is>
      </c>
      <c r="C7" s="17" t="n">
        <v>5</v>
      </c>
      <c r="D7" s="17" t="n">
        <v>2.5</v>
      </c>
      <c r="E7" s="18" t="inlineStr">
        <is>
          <r>
            <t xml:space="preserve">REST/SOAP confirmed via Swagger/OpenAPI/Postman/Burp-capture import; confirmed weak on GraphQL/gRPC after independent gap-check -- a 2025 QID only detects a known CVE in the GraphQL Mesh software component, not query/introspection scanning, and third-party comparisons (Beagle Security, Invicti) explicitly state Qualys lags on GraphQL/SPA crawling. Source: </t>
          </r>
          <r>
            <rPr>
              <color rgb="000563C1"/>
              <u val="single"/>
            </rPr>
            <t>docs.qualys.com</t>
          </r>
          <r>
            <t xml:space="preserve"> WAS 1.14 release notes, beaglesecurity.com Acunetix vs Qualys comparison</t>
          </r>
        </is>
      </c>
      <c r="F7" s="16" t="inlineStr">
        <is>
          <t>paper</t>
        </is>
      </c>
      <c r="G7" s="19" t="n"/>
      <c r="H7" s="20" t="n"/>
      <c r="I7" s="21" t="n"/>
      <c r="J7" s="19" t="n"/>
      <c r="K7" s="20" t="n"/>
      <c r="L7" s="21" t="n"/>
      <c r="M7" s="19" t="n"/>
      <c r="N7" s="20" t="n"/>
      <c r="O7" s="21" t="n"/>
      <c r="P7" s="19" t="n"/>
      <c r="Q7" s="20" t="n"/>
      <c r="R7" s="21" t="n"/>
      <c r="S7" s="19" t="n"/>
      <c r="T7" s="20" t="n"/>
      <c r="U7" s="21" t="n"/>
      <c r="V7" s="19" t="n"/>
      <c r="W7" s="20" t="n"/>
      <c r="X7" s="20" t="n"/>
      <c r="Y7" s="17">
        <f>IF(ISBLANK(V7),"",V7-D7)</f>
        <v/>
      </c>
      <c r="Z7" s="22" t="inlineStr">
        <is>
          <t>api-spa-coverage</t>
        </is>
      </c>
      <c r="AA7" s="22" t="n">
        <v>0</v>
      </c>
      <c r="AB7" s="22">
        <f>IF(ISBLANK(V7),D7,V7)</f>
        <v/>
      </c>
    </row>
    <row r="8">
      <c r="A8" s="11" t="inlineStr">
        <is>
          <t>CI/CD-Native Fit</t>
        </is>
      </c>
      <c r="B8" s="11" t="inlineStr">
        <is>
          <t>Production Safety &amp; Operability</t>
        </is>
      </c>
      <c r="C8" s="6" t="n">
        <v>5</v>
      </c>
      <c r="D8" s="6" t="n">
        <v>4</v>
      </c>
      <c r="E8" s="12" t="inlineStr">
        <is>
          <r>
            <t xml:space="preserve">Native Jenkins plugin evaluates configured pass/fail criteria against scan results and generates a build exception to fail the build on a match. Source: </t>
          </r>
          <r>
            <rPr>
              <color rgb="000563C1"/>
              <u val="single"/>
            </rPr>
            <t>plugins.jenkins.io/qualys-was</t>
          </r>
        </is>
      </c>
      <c r="F8" s="11" t="inlineStr">
        <is>
          <t>paper</t>
        </is>
      </c>
      <c r="G8" s="13" t="n"/>
      <c r="H8" s="14" t="n"/>
      <c r="I8" s="15" t="n"/>
      <c r="J8" s="13" t="n"/>
      <c r="K8" s="14" t="n"/>
      <c r="L8" s="15" t="n"/>
      <c r="M8" s="13" t="n"/>
      <c r="N8" s="14" t="n"/>
      <c r="O8" s="15" t="n"/>
      <c r="P8" s="13" t="n"/>
      <c r="Q8" s="14" t="n"/>
      <c r="R8" s="15" t="n"/>
      <c r="S8" s="13" t="n"/>
      <c r="T8" s="14" t="n"/>
      <c r="U8" s="15" t="n"/>
      <c r="V8" s="13" t="n"/>
      <c r="W8" s="14" t="n"/>
      <c r="X8" s="14" t="n"/>
      <c r="Y8" s="6">
        <f>IF(ISBLANK(V8),"",V8-D8)</f>
        <v/>
      </c>
      <c r="Z8" t="inlineStr">
        <is>
          <t>cicd-native-fit</t>
        </is>
      </c>
      <c r="AA8" t="n">
        <v>0</v>
      </c>
      <c r="AB8">
        <f>IF(ISBLANK(V8),D8,V8)</f>
        <v/>
      </c>
    </row>
    <row r="9">
      <c r="A9" s="16" t="inlineStr">
        <is>
          <t>Deployment Model &amp; Data Residency</t>
        </is>
      </c>
      <c r="B9" s="16" t="inlineStr">
        <is>
          <t>Deployment &amp; Data Governance</t>
        </is>
      </c>
      <c r="C9" s="17" t="n">
        <v>5</v>
      </c>
      <c r="D9" s="17" t="n">
        <v>4</v>
      </c>
      <c r="E9" s="18" t="inlineStr">
        <is>
          <r>
            <t xml:space="preserve">Physical/virtual Scanner Appliances for on-prem/private-cloud deployment plus Cloud Agents and marketplace virtual scanners (AWS/Azure/VMware); hybrid model explicitly recommended by Qualys. Full air-gapped support not explicitly confirmed, unlike some competitors. Source: </t>
          </r>
          <r>
            <rPr>
              <color rgb="000563C1"/>
              <u val="single"/>
            </rPr>
            <t>docs.qualys.com</t>
          </r>
          <r>
            <t xml:space="preserve"> Scanner Appliance docs</t>
          </r>
        </is>
      </c>
      <c r="F9" s="16" t="inlineStr">
        <is>
          <t>paper</t>
        </is>
      </c>
      <c r="G9" s="19" t="n"/>
      <c r="H9" s="20" t="n"/>
      <c r="I9" s="21" t="n"/>
      <c r="J9" s="19" t="n"/>
      <c r="K9" s="20" t="n"/>
      <c r="L9" s="21" t="n"/>
      <c r="M9" s="19" t="n"/>
      <c r="N9" s="20" t="n"/>
      <c r="O9" s="21" t="n"/>
      <c r="P9" s="19" t="n"/>
      <c r="Q9" s="20" t="n"/>
      <c r="R9" s="21" t="n"/>
      <c r="S9" s="19" t="n"/>
      <c r="T9" s="20" t="n"/>
      <c r="U9" s="21" t="n"/>
      <c r="V9" s="19" t="n"/>
      <c r="W9" s="20" t="n"/>
      <c r="X9" s="20" t="n"/>
      <c r="Y9" s="17">
        <f>IF(ISBLANK(V9),"",V9-D9)</f>
        <v/>
      </c>
      <c r="Z9" s="22" t="inlineStr">
        <is>
          <t>deployment-model-data-residency</t>
        </is>
      </c>
      <c r="AA9" s="22" t="n">
        <v>0</v>
      </c>
      <c r="AB9" s="22">
        <f>IF(ISBLANK(V9),D9,V9)</f>
        <v/>
      </c>
    </row>
    <row r="10">
      <c r="A10" s="11" t="inlineStr">
        <is>
          <t>Legacy Application &amp; Protocol Support</t>
        </is>
      </c>
      <c r="B10" s="11" t="inlineStr">
        <is>
          <t>Coverage</t>
        </is>
      </c>
      <c r="C10" s="6" t="n">
        <v>5</v>
      </c>
      <c r="D10" s="6" t="n">
        <v>3</v>
      </c>
      <c r="E10" s="12" t="inlineStr">
        <is>
          <r>
            <t xml:space="preserve">SOAP support confirmed; no </t>
          </r>
          <r>
            <rPr>
              <color rgb="000563C1"/>
              <u val="single"/>
            </rPr>
            <t>ASP.NET</t>
          </r>
          <r>
            <t xml:space="preserve"> WebForms/JSP/mainframe-gateway-specific claims found for WAS. Source: qualys.com/apps/web-app-scanning</t>
          </r>
        </is>
      </c>
      <c r="F10" s="11" t="inlineStr">
        <is>
          <t>paper</t>
        </is>
      </c>
      <c r="G10" s="13" t="n"/>
      <c r="H10" s="14" t="n"/>
      <c r="I10" s="15" t="n"/>
      <c r="J10" s="13" t="n"/>
      <c r="K10" s="14" t="n"/>
      <c r="L10" s="15" t="n"/>
      <c r="M10" s="13" t="n"/>
      <c r="N10" s="14" t="n"/>
      <c r="O10" s="15" t="n"/>
      <c r="P10" s="13" t="n"/>
      <c r="Q10" s="14" t="n"/>
      <c r="R10" s="15" t="n"/>
      <c r="S10" s="13" t="n"/>
      <c r="T10" s="14" t="n"/>
      <c r="U10" s="15" t="n"/>
      <c r="V10" s="13" t="n"/>
      <c r="W10" s="14" t="n"/>
      <c r="X10" s="14" t="n"/>
      <c r="Y10" s="6">
        <f>IF(ISBLANK(V10),"",V10-D10)</f>
        <v/>
      </c>
      <c r="Z10" t="inlineStr">
        <is>
          <t>legacy-app-protocol-support</t>
        </is>
      </c>
      <c r="AA10" t="n">
        <v>0</v>
      </c>
      <c r="AB10">
        <f>IF(ISBLANK(V10),D10,V10)</f>
        <v/>
      </c>
    </row>
    <row r="11">
      <c r="A11" s="16" t="inlineStr">
        <is>
          <t>Business Logic &amp; Workflow Vulnerability Detection</t>
        </is>
      </c>
      <c r="B11" s="16" t="inlineStr">
        <is>
          <t>Coverage</t>
        </is>
      </c>
      <c r="C11" s="17" t="n">
        <v>4</v>
      </c>
      <c r="D11" s="17" t="n">
        <v>1.5</v>
      </c>
      <c r="E11" s="18" t="inlineStr">
        <is>
          <r>
            <t xml:space="preserve">Confirmed weak after independent gap-check: 'Form Training' and Selenium/Browser-Recorder scripts enable crawling through multi-step workflows but no authorization-state-aware business-logic testing capability was found (nothing analogous to a privilege-escalation-diff test). A source explicitly states 'Standard DAST tools like Qualys WAS cannot validate business logic,' and this stands unrebutted. Source: </t>
          </r>
          <r>
            <rPr>
              <color rgb="000563C1"/>
              <u val="single"/>
            </rPr>
            <t>getautonoma.com/blog/dast-tools</t>
          </r>
        </is>
      </c>
      <c r="F11" s="16" t="inlineStr">
        <is>
          <t>paper</t>
        </is>
      </c>
      <c r="G11" s="19" t="n"/>
      <c r="H11" s="20" t="n"/>
      <c r="I11" s="21" t="n"/>
      <c r="J11" s="19" t="n"/>
      <c r="K11" s="20" t="n"/>
      <c r="L11" s="21" t="n"/>
      <c r="M11" s="19" t="n"/>
      <c r="N11" s="20" t="n"/>
      <c r="O11" s="21" t="n"/>
      <c r="P11" s="19" t="n"/>
      <c r="Q11" s="20" t="n"/>
      <c r="R11" s="21" t="n"/>
      <c r="S11" s="19" t="n"/>
      <c r="T11" s="20" t="n"/>
      <c r="U11" s="21" t="n"/>
      <c r="V11" s="19" t="n"/>
      <c r="W11" s="20" t="n"/>
      <c r="X11" s="20" t="n"/>
      <c r="Y11" s="17">
        <f>IF(ISBLANK(V11),"",V11-D11)</f>
        <v/>
      </c>
      <c r="Z11" s="22" t="inlineStr">
        <is>
          <t>business-logic-workflow-detection</t>
        </is>
      </c>
      <c r="AA11" s="22" t="n">
        <v>0</v>
      </c>
      <c r="AB11" s="22">
        <f>IF(ISBLANK(V11),D11,V11)</f>
        <v/>
      </c>
    </row>
    <row r="12">
      <c r="A12" s="11" t="inlineStr">
        <is>
          <t>Shadow/Zombie API Discovery</t>
        </is>
      </c>
      <c r="B12" s="11" t="inlineStr">
        <is>
          <t>Coverage</t>
        </is>
      </c>
      <c r="C12" s="6" t="n">
        <v>4</v>
      </c>
      <c r="D12" s="6" t="n">
        <v>4</v>
      </c>
      <c r="E12" s="12" t="inlineStr">
        <is>
          <r>
            <t xml:space="preserve">Revised up after independent gap-check: WAS's own 'API Security' module (within WAS itself, not a separate EASM/CSAM product) explicitly claims to catalog internal, external, undocumented, rogue, and shadow APIs across cloud/container/gateway environments. Source: </t>
          </r>
          <r>
            <rPr>
              <color rgb="000563C1"/>
              <u val="single"/>
            </rPr>
            <t>blog.qualys.com</t>
          </r>
          <r>
            <t xml:space="preserve"> API Security in WAS post</t>
          </r>
        </is>
      </c>
      <c r="F12" s="11" t="inlineStr">
        <is>
          <t>paper</t>
        </is>
      </c>
      <c r="G12" s="13" t="n"/>
      <c r="H12" s="14" t="n"/>
      <c r="I12" s="15" t="n"/>
      <c r="J12" s="13" t="n"/>
      <c r="K12" s="14" t="n"/>
      <c r="L12" s="15" t="n"/>
      <c r="M12" s="13" t="n"/>
      <c r="N12" s="14" t="n"/>
      <c r="O12" s="15" t="n"/>
      <c r="P12" s="13" t="n"/>
      <c r="Q12" s="14" t="n"/>
      <c r="R12" s="15" t="n"/>
      <c r="S12" s="13" t="n"/>
      <c r="T12" s="14" t="n"/>
      <c r="U12" s="15" t="n"/>
      <c r="V12" s="13" t="n"/>
      <c r="W12" s="14" t="n"/>
      <c r="X12" s="14" t="n"/>
      <c r="Y12" s="6">
        <f>IF(ISBLANK(V12),"",V12-D12)</f>
        <v/>
      </c>
      <c r="Z12" t="inlineStr">
        <is>
          <t>shadow-api-discovery</t>
        </is>
      </c>
      <c r="AA12" t="n">
        <v>0</v>
      </c>
      <c r="AB12">
        <f>IF(ISBLANK(V12),D12,V12)</f>
        <v/>
      </c>
    </row>
    <row r="13">
      <c r="A13" s="16" t="inlineStr">
        <is>
          <t>Vulnerability Status Management</t>
        </is>
      </c>
      <c r="B13" s="16" t="inlineStr">
        <is>
          <t>Reporting &amp; Extensibility</t>
        </is>
      </c>
      <c r="C13" s="17" t="n">
        <v>4</v>
      </c>
      <c r="D13" s="17" t="n">
        <v>3</v>
      </c>
      <c r="E13" s="18" t="inlineStr">
        <is>
          <r>
            <t xml:space="preserve">Revised up modestly after independent gap-check: ignore/exception reasons (False Positive, Risk Accepted, Other with an explanation field) are confirmed, but no multi-party approval step or dedicated audit trail specific to the exception itself was found. Source: </t>
          </r>
          <r>
            <rPr>
              <color rgb="000563C1"/>
              <u val="single"/>
            </rPr>
            <t>docs.qualys.com</t>
          </r>
          <r>
            <t xml:space="preserve"> ignore vulnerability docs</t>
          </r>
        </is>
      </c>
      <c r="F13" s="16" t="inlineStr">
        <is>
          <t>paper</t>
        </is>
      </c>
      <c r="G13" s="19" t="n"/>
      <c r="H13" s="20" t="n"/>
      <c r="I13" s="21" t="n"/>
      <c r="J13" s="19" t="n"/>
      <c r="K13" s="20" t="n"/>
      <c r="L13" s="21" t="n"/>
      <c r="M13" s="19" t="n"/>
      <c r="N13" s="20" t="n"/>
      <c r="O13" s="21" t="n"/>
      <c r="P13" s="19" t="n"/>
      <c r="Q13" s="20" t="n"/>
      <c r="R13" s="21" t="n"/>
      <c r="S13" s="19" t="n"/>
      <c r="T13" s="20" t="n"/>
      <c r="U13" s="21" t="n"/>
      <c r="V13" s="19" t="n"/>
      <c r="W13" s="20" t="n"/>
      <c r="X13" s="20" t="n"/>
      <c r="Y13" s="17">
        <f>IF(ISBLANK(V13),"",V13-D13)</f>
        <v/>
      </c>
      <c r="Z13" s="22" t="inlineStr">
        <is>
          <t>vulnerability-status-management</t>
        </is>
      </c>
      <c r="AA13" s="22" t="n">
        <v>0</v>
      </c>
      <c r="AB13" s="22">
        <f>IF(ISBLANK(V13),D13,V13)</f>
        <v/>
      </c>
    </row>
    <row r="14">
      <c r="A14" s="11" t="inlineStr">
        <is>
          <t>Compliance &amp; Standards Mapping</t>
        </is>
      </c>
      <c r="B14" s="11" t="inlineStr">
        <is>
          <t>Detection Quality</t>
        </is>
      </c>
      <c r="C14" s="6" t="n">
        <v>4</v>
      </c>
      <c r="D14" s="6" t="n">
        <v>4</v>
      </c>
      <c r="E14" s="12" t="inlineStr">
        <is>
          <r>
            <t xml:space="preserve">PCI DSS 4.0 (ASV-approved, audit-ready) confirmed; Policy Audit maps to 90+ benchmarks/frameworks (CIS, NIST, FedRAMP, GDPR, PCI DSS); no GLBA/FFIEC/NYDFS/SOX-specific mapping confirmed, and some of this breadth is platform-wide (Policy Audit) rather than WAS-DAST-specific. Source: </t>
          </r>
          <r>
            <rPr>
              <color rgb="000563C1"/>
              <u val="single"/>
            </rPr>
            <t>blog.qualys.com</t>
          </r>
          <r>
            <t xml:space="preserve"> Policy Audit post</t>
          </r>
        </is>
      </c>
      <c r="F14" s="11" t="inlineStr">
        <is>
          <t>paper</t>
        </is>
      </c>
      <c r="G14" s="13" t="n"/>
      <c r="H14" s="14" t="n"/>
      <c r="I14" s="15" t="n"/>
      <c r="J14" s="13" t="n"/>
      <c r="K14" s="14" t="n"/>
      <c r="L14" s="15" t="n"/>
      <c r="M14" s="13" t="n"/>
      <c r="N14" s="14" t="n"/>
      <c r="O14" s="15" t="n"/>
      <c r="P14" s="13" t="n"/>
      <c r="Q14" s="14" t="n"/>
      <c r="R14" s="15" t="n"/>
      <c r="S14" s="13" t="n"/>
      <c r="T14" s="14" t="n"/>
      <c r="U14" s="15" t="n"/>
      <c r="V14" s="13" t="n"/>
      <c r="W14" s="14" t="n"/>
      <c r="X14" s="14" t="n"/>
      <c r="Y14" s="6">
        <f>IF(ISBLANK(V14),"",V14-D14)</f>
        <v/>
      </c>
      <c r="Z14" t="inlineStr">
        <is>
          <t>compliance-standards-mapping</t>
        </is>
      </c>
      <c r="AA14" t="n">
        <v>0</v>
      </c>
      <c r="AB14">
        <f>IF(ISBLANK(V14),D14,V14)</f>
        <v/>
      </c>
    </row>
    <row r="15">
      <c r="A15" s="16" t="inlineStr">
        <is>
          <t>Noise / False-Positive Rate</t>
        </is>
      </c>
      <c r="B15" s="16" t="inlineStr">
        <is>
          <t>Detection Quality</t>
        </is>
      </c>
      <c r="C15" s="17" t="n">
        <v>4</v>
      </c>
      <c r="D15" s="17" t="n">
        <v>3</v>
      </c>
      <c r="E15" s="18" t="inlineStr">
        <is>
          <r>
            <t xml:space="preserve">No independent benchmark or user-review data found specifically quantifying WAS's false-positive rate in either direction; the vendor's own product page makes no specific FP-rate claim either. Source: </t>
          </r>
          <r>
            <rPr>
              <color rgb="000563C1"/>
              <u val="single"/>
            </rPr>
            <t>qualys.com/apps/web-app-scanning</t>
          </r>
        </is>
      </c>
      <c r="F15" s="16" t="inlineStr">
        <is>
          <t>paper</t>
        </is>
      </c>
      <c r="G15" s="19" t="n"/>
      <c r="H15" s="20" t="n"/>
      <c r="I15" s="21" t="n"/>
      <c r="J15" s="19" t="n"/>
      <c r="K15" s="20" t="n"/>
      <c r="L15" s="21" t="n"/>
      <c r="M15" s="19" t="n"/>
      <c r="N15" s="20" t="n"/>
      <c r="O15" s="21" t="n"/>
      <c r="P15" s="19" t="n"/>
      <c r="Q15" s="20" t="n"/>
      <c r="R15" s="21" t="n"/>
      <c r="S15" s="19" t="n"/>
      <c r="T15" s="20" t="n"/>
      <c r="U15" s="21" t="n"/>
      <c r="V15" s="19" t="n"/>
      <c r="W15" s="20" t="n"/>
      <c r="X15" s="20" t="n"/>
      <c r="Y15" s="17">
        <f>IF(ISBLANK(V15),"",V15-D15)</f>
        <v/>
      </c>
      <c r="Z15" s="22" t="inlineStr">
        <is>
          <t>false-positive-rate</t>
        </is>
      </c>
      <c r="AA15" s="22" t="n">
        <v>0</v>
      </c>
      <c r="AB15" s="22">
        <f>IF(ISBLANK(V15),D15,V15)</f>
        <v/>
      </c>
    </row>
    <row r="16">
      <c r="A16" s="11" t="inlineStr">
        <is>
          <t>Triage &amp; Remediation Guidance</t>
        </is>
      </c>
      <c r="B16" s="11" t="inlineStr">
        <is>
          <t>Developer Experience</t>
        </is>
      </c>
      <c r="C16" s="6" t="n">
        <v>4</v>
      </c>
      <c r="D16" s="6" t="n">
        <v>3</v>
      </c>
      <c r="E16" s="12" t="inlineStr">
        <is>
          <r>
            <t xml:space="preserve">TruRisk-based prioritization implied at the platform level; no WAS-specific instance-tailored remediation-guidance citation found distinct from generic vulnerability descriptions. Source: </t>
          </r>
          <r>
            <rPr>
              <color rgb="000563C1"/>
              <u val="single"/>
            </rPr>
            <t>docs.qualys.com/en/vmdr/latest/trurisk/truRisk_report.htm</t>
          </r>
          <r>
            <t xml:space="preserve"> (platform-wide, not WAS-specific)</t>
          </r>
        </is>
      </c>
      <c r="F16" s="11" t="inlineStr">
        <is>
          <t>paper</t>
        </is>
      </c>
      <c r="G16" s="13" t="n"/>
      <c r="H16" s="14" t="n"/>
      <c r="I16" s="15" t="n"/>
      <c r="J16" s="13" t="n"/>
      <c r="K16" s="14" t="n"/>
      <c r="L16" s="15" t="n"/>
      <c r="M16" s="13" t="n"/>
      <c r="N16" s="14" t="n"/>
      <c r="O16" s="15" t="n"/>
      <c r="P16" s="13" t="n"/>
      <c r="Q16" s="14" t="n"/>
      <c r="R16" s="15" t="n"/>
      <c r="S16" s="13" t="n"/>
      <c r="T16" s="14" t="n"/>
      <c r="U16" s="15" t="n"/>
      <c r="V16" s="13" t="n"/>
      <c r="W16" s="14" t="n"/>
      <c r="X16" s="14" t="n"/>
      <c r="Y16" s="6">
        <f>IF(ISBLANK(V16),"",V16-D16)</f>
        <v/>
      </c>
      <c r="Z16" t="inlineStr">
        <is>
          <t>triage-remediation-guidance</t>
        </is>
      </c>
      <c r="AA16" t="n">
        <v>0</v>
      </c>
      <c r="AB16">
        <f>IF(ISBLANK(V16),D16,V16)</f>
        <v/>
      </c>
    </row>
    <row r="17">
      <c r="A17" s="16" t="inlineStr">
        <is>
          <t>Automated Triage / FP-Reduction Engine</t>
        </is>
      </c>
      <c r="B17" s="16" t="inlineStr">
        <is>
          <t>Detection Quality</t>
        </is>
      </c>
      <c r="C17" s="17" t="n">
        <v>3</v>
      </c>
      <c r="D17" s="17" t="n">
        <v>1.5</v>
      </c>
      <c r="E17" s="18" t="inlineStr">
        <is>
          <r>
            <t xml:space="preserve">Confirmed weak after independent gap-check: no cross-scan learning or automated proof-of-concept replay found beyond manual ignore/exception marking and TruRisk's risk-prioritization scoring. Source: </t>
          </r>
          <r>
            <rPr>
              <color rgb="000563C1"/>
              <u val="single"/>
            </rPr>
            <t>docs.qualys.com/en/was/latest/knowledgebase/ignore_vulnerability.htm</t>
          </r>
        </is>
      </c>
      <c r="F17" s="16" t="inlineStr">
        <is>
          <t>paper</t>
        </is>
      </c>
      <c r="G17" s="19" t="n"/>
      <c r="H17" s="20" t="n"/>
      <c r="I17" s="21" t="n"/>
      <c r="J17" s="19" t="n"/>
      <c r="K17" s="20" t="n"/>
      <c r="L17" s="21" t="n"/>
      <c r="M17" s="19" t="n"/>
      <c r="N17" s="20" t="n"/>
      <c r="O17" s="21" t="n"/>
      <c r="P17" s="19" t="n"/>
      <c r="Q17" s="20" t="n"/>
      <c r="R17" s="21" t="n"/>
      <c r="S17" s="19" t="n"/>
      <c r="T17" s="20" t="n"/>
      <c r="U17" s="21" t="n"/>
      <c r="V17" s="19" t="n"/>
      <c r="W17" s="20" t="n"/>
      <c r="X17" s="20" t="n"/>
      <c r="Y17" s="17">
        <f>IF(ISBLANK(V17),"",V17-D17)</f>
        <v/>
      </c>
      <c r="Z17" s="22" t="inlineStr">
        <is>
          <t>automated-triage-fp-reduction</t>
        </is>
      </c>
      <c r="AA17" s="22" t="n">
        <v>0</v>
      </c>
      <c r="AB17" s="22">
        <f>IF(ISBLANK(V17),D17,V17)</f>
        <v/>
      </c>
    </row>
    <row r="18">
      <c r="A18" s="11" t="inlineStr">
        <is>
          <t>Multi-Tenancy &amp; Access Control</t>
        </is>
      </c>
      <c r="B18" s="11" t="inlineStr">
        <is>
          <t>Deployment &amp; Data Governance</t>
        </is>
      </c>
      <c r="C18" s="6" t="n">
        <v>3</v>
      </c>
      <c r="D18" s="6" t="n">
        <v>4</v>
      </c>
      <c r="E18" s="12" t="inlineStr">
        <is>
          <r>
            <t xml:space="preserve">Revised up after independent gap-check: documented RBAC via Role Management (custom roles) plus a real Activity/Action Log explicitly covering 'WAS UI, API, and other services,' scoped by role (Manager sees all, Unit Manager sees their unit, Scanner/Reader sees only their own actions). Source: </t>
          </r>
          <r>
            <rPr>
              <color rgb="000563C1"/>
              <u val="single"/>
            </rPr>
            <t>qualysguard.qg2.apps.qualys.com</t>
          </r>
          <r>
            <t xml:space="preserve"> Activity Log and Role Management docs</t>
          </r>
        </is>
      </c>
      <c r="F18" s="11" t="inlineStr">
        <is>
          <t>paper</t>
        </is>
      </c>
      <c r="G18" s="13" t="n"/>
      <c r="H18" s="14" t="n"/>
      <c r="I18" s="15" t="n"/>
      <c r="J18" s="13" t="n"/>
      <c r="K18" s="14" t="n"/>
      <c r="L18" s="15" t="n"/>
      <c r="M18" s="13" t="n"/>
      <c r="N18" s="14" t="n"/>
      <c r="O18" s="15" t="n"/>
      <c r="P18" s="13" t="n"/>
      <c r="Q18" s="14" t="n"/>
      <c r="R18" s="15" t="n"/>
      <c r="S18" s="13" t="n"/>
      <c r="T18" s="14" t="n"/>
      <c r="U18" s="15" t="n"/>
      <c r="V18" s="13" t="n"/>
      <c r="W18" s="14" t="n"/>
      <c r="X18" s="14" t="n"/>
      <c r="Y18" s="6">
        <f>IF(ISBLANK(V18),"",V18-D18)</f>
        <v/>
      </c>
      <c r="Z18" t="inlineStr">
        <is>
          <t>multi-tenancy-access-control</t>
        </is>
      </c>
      <c r="AA18" t="n">
        <v>0</v>
      </c>
      <c r="AB18">
        <f>IF(ISBLANK(V18),D18,V18)</f>
        <v/>
      </c>
    </row>
    <row r="19">
      <c r="A19" s="16" t="inlineStr">
        <is>
          <t>Traditional Stateful Web Crawling</t>
        </is>
      </c>
      <c r="B19" s="16" t="inlineStr">
        <is>
          <t>Coverage</t>
        </is>
      </c>
      <c r="C19" s="17" t="n">
        <v>3</v>
      </c>
      <c r="D19" s="17" t="n">
        <v>3.5</v>
      </c>
      <c r="E19" s="18" t="inlineStr">
        <is>
          <r>
            <t xml:space="preserve">Revised up with caveat after independent gap-check: Selenium/Browser Recorder scripts plus 'Form Training' for multi-step forms are confirmed -- closer to scripted macro replay (like Rapid7's Use Sequence) than dedicated wizard/session-state modeling, but a genuine, real capability rather than zero. Source: </t>
          </r>
          <r>
            <rPr>
              <color rgb="000563C1"/>
              <u val="single"/>
            </rPr>
            <t>docs.qualys.com</t>
          </r>
          <r>
            <t xml:space="preserve"> Selenium script docs</t>
          </r>
        </is>
      </c>
      <c r="F19" s="16" t="inlineStr">
        <is>
          <t>paper</t>
        </is>
      </c>
      <c r="G19" s="19" t="n"/>
      <c r="H19" s="20" t="n"/>
      <c r="I19" s="21" t="n"/>
      <c r="J19" s="19" t="n"/>
      <c r="K19" s="20" t="n"/>
      <c r="L19" s="21" t="n"/>
      <c r="M19" s="19" t="n"/>
      <c r="N19" s="20" t="n"/>
      <c r="O19" s="21" t="n"/>
      <c r="P19" s="19" t="n"/>
      <c r="Q19" s="20" t="n"/>
      <c r="R19" s="21" t="n"/>
      <c r="S19" s="19" t="n"/>
      <c r="T19" s="20" t="n"/>
      <c r="U19" s="21" t="n"/>
      <c r="V19" s="19" t="n"/>
      <c r="W19" s="20" t="n"/>
      <c r="X19" s="20" t="n"/>
      <c r="Y19" s="17">
        <f>IF(ISBLANK(V19),"",V19-D19)</f>
        <v/>
      </c>
      <c r="Z19" s="22" t="inlineStr">
        <is>
          <t>stateful-web-crawling</t>
        </is>
      </c>
      <c r="AA19" s="22" t="n">
        <v>0</v>
      </c>
      <c r="AB19" s="22">
        <f>IF(ISBLANK(V19),D19,V19)</f>
        <v/>
      </c>
    </row>
    <row r="20">
      <c r="A20" s="11" t="inlineStr">
        <is>
          <t>Predictability of Licensing Model</t>
        </is>
      </c>
      <c r="B20" s="11" t="inlineStr">
        <is>
          <t>Deployment &amp; Data Governance</t>
        </is>
      </c>
      <c r="C20" s="6" t="n">
        <v>3</v>
      </c>
      <c r="D20" s="6" t="n">
        <v>4</v>
      </c>
      <c r="E20" s="12" t="inlineStr">
        <is>
          <r>
            <t xml:space="preserve">A real published starting price ($1,995/year for 25 applications) is the most concretely transparent entry-level pricing of the four newly-added candidates, though larger enterprise tiers still require custom quotes. Source: </t>
          </r>
          <r>
            <rPr>
              <color rgb="000563C1"/>
              <u val="single"/>
            </rPr>
            <t>beaglesecurity.com</t>
          </r>
          <r>
            <t xml:space="preserve"> Qualys pricing article</t>
          </r>
        </is>
      </c>
      <c r="F20" s="11" t="inlineStr">
        <is>
          <t>paper</t>
        </is>
      </c>
      <c r="G20" s="13" t="n"/>
      <c r="H20" s="14" t="n"/>
      <c r="I20" s="15" t="n"/>
      <c r="J20" s="13" t="n"/>
      <c r="K20" s="14" t="n"/>
      <c r="L20" s="15" t="n"/>
      <c r="M20" s="13" t="n"/>
      <c r="N20" s="14" t="n"/>
      <c r="O20" s="15" t="n"/>
      <c r="P20" s="13" t="n"/>
      <c r="Q20" s="14" t="n"/>
      <c r="R20" s="15" t="n"/>
      <c r="S20" s="13" t="n"/>
      <c r="T20" s="14" t="n"/>
      <c r="U20" s="15" t="n"/>
      <c r="V20" s="13" t="n"/>
      <c r="W20" s="14" t="n"/>
      <c r="X20" s="14" t="n"/>
      <c r="Y20" s="6">
        <f>IF(ISBLANK(V20),"",V20-D20)</f>
        <v/>
      </c>
      <c r="Z20" t="inlineStr">
        <is>
          <t>licensing-model-predictability</t>
        </is>
      </c>
      <c r="AA20" t="n">
        <v>0</v>
      </c>
      <c r="AB20">
        <f>IF(ISBLANK(V20),D20,V20)</f>
        <v/>
      </c>
    </row>
    <row r="21">
      <c r="A21" s="16" t="inlineStr">
        <is>
          <t>Setup &amp; Onboarding Friction</t>
        </is>
      </c>
      <c r="B21" s="16" t="inlineStr">
        <is>
          <t>Developer Experience</t>
        </is>
      </c>
      <c r="C21" s="17" t="n">
        <v>3</v>
      </c>
      <c r="D21" s="17" t="n">
        <v>3</v>
      </c>
      <c r="E21" s="18" t="inlineStr">
        <is>
          <r>
            <t xml:space="preserve">A dedicated Getting Started Guide exists; cloud SaaS deployment implies straightforward setup, but no explicit time-to-first-scan claim was found. Source: </t>
          </r>
          <r>
            <rPr>
              <color rgb="000563C1"/>
              <u val="single"/>
            </rPr>
            <t>cdn2.qualys.com</t>
          </r>
          <r>
            <t xml:space="preserve"> WAS getting started guide</t>
          </r>
        </is>
      </c>
      <c r="F21" s="16" t="inlineStr">
        <is>
          <t>paper</t>
        </is>
      </c>
      <c r="G21" s="19" t="n"/>
      <c r="H21" s="20" t="n"/>
      <c r="I21" s="21" t="n"/>
      <c r="J21" s="19" t="n"/>
      <c r="K21" s="20" t="n"/>
      <c r="L21" s="21" t="n"/>
      <c r="M21" s="19" t="n"/>
      <c r="N21" s="20" t="n"/>
      <c r="O21" s="21" t="n"/>
      <c r="P21" s="19" t="n"/>
      <c r="Q21" s="20" t="n"/>
      <c r="R21" s="21" t="n"/>
      <c r="S21" s="19" t="n"/>
      <c r="T21" s="20" t="n"/>
      <c r="U21" s="21" t="n"/>
      <c r="V21" s="19" t="n"/>
      <c r="W21" s="20" t="n"/>
      <c r="X21" s="20" t="n"/>
      <c r="Y21" s="17">
        <f>IF(ISBLANK(V21),"",V21-D21)</f>
        <v/>
      </c>
      <c r="Z21" s="22" t="inlineStr">
        <is>
          <t>setup-onboarding-friction</t>
        </is>
      </c>
      <c r="AA21" s="22" t="n">
        <v>0</v>
      </c>
      <c r="AB21" s="22">
        <f>IF(ISBLANK(V21),D21,V21)</f>
        <v/>
      </c>
    </row>
    <row r="22">
      <c r="A22" s="11" t="inlineStr">
        <is>
          <t>Vendor Security Posture</t>
        </is>
      </c>
      <c r="B22" s="11" t="inlineStr">
        <is>
          <t>Deployment &amp; Data Governance</t>
        </is>
      </c>
      <c r="C22" s="6" t="n">
        <v>3</v>
      </c>
      <c r="D22" s="6" t="n">
        <v>4.5</v>
      </c>
      <c r="E22" s="12" t="inlineStr">
        <is>
          <r>
            <t xml:space="preserve">SOC 2 Type II report and ISO 27001 certificate both directly confirmed via Qualys's own compliance fileshare pages. Source: </t>
          </r>
          <r>
            <rPr>
              <color rgb="000563C1"/>
              <u val="single"/>
            </rPr>
            <t>success.qualys.com</t>
          </r>
          <r>
            <t xml:space="preserve"> compliance fileshare</t>
          </r>
        </is>
      </c>
      <c r="F22" s="11" t="inlineStr">
        <is>
          <t>paper</t>
        </is>
      </c>
      <c r="G22" s="13" t="n"/>
      <c r="H22" s="14" t="n"/>
      <c r="I22" s="15" t="n"/>
      <c r="J22" s="13" t="n"/>
      <c r="K22" s="14" t="n"/>
      <c r="L22" s="15" t="n"/>
      <c r="M22" s="13" t="n"/>
      <c r="N22" s="14" t="n"/>
      <c r="O22" s="15" t="n"/>
      <c r="P22" s="13" t="n"/>
      <c r="Q22" s="14" t="n"/>
      <c r="R22" s="15" t="n"/>
      <c r="S22" s="13" t="n"/>
      <c r="T22" s="14" t="n"/>
      <c r="U22" s="15" t="n"/>
      <c r="V22" s="13" t="n"/>
      <c r="W22" s="14" t="n"/>
      <c r="X22" s="14" t="n"/>
      <c r="Y22" s="6">
        <f>IF(ISBLANK(V22),"",V22-D22)</f>
        <v/>
      </c>
      <c r="Z22" t="inlineStr">
        <is>
          <t>vendor-security-posture</t>
        </is>
      </c>
      <c r="AA22" t="n">
        <v>0</v>
      </c>
      <c r="AB22">
        <f>IF(ISBLANK(V22),D22,V22)</f>
        <v/>
      </c>
    </row>
    <row r="23">
      <c r="A23" s="16" t="inlineStr">
        <is>
          <t>ASPM Integration</t>
        </is>
      </c>
      <c r="B23" s="16" t="inlineStr">
        <is>
          <t>Reporting &amp; Extensibility</t>
        </is>
      </c>
      <c r="C23" s="17" t="n">
        <v>2</v>
      </c>
      <c r="D23" s="17" t="n">
        <v>1.5</v>
      </c>
      <c r="E23" s="18" t="inlineStr">
        <is>
          <r>
            <t xml:space="preserve">Confirmed weak, worse than the initial pass suggested, after independent gap-check: ArmorCode's own partner page lists Qualys only as a generic 'API - Tech Alliance Partner' with no WAS-specific mention; DefectDojo's Qualys parser is documented as designed for VMDR host-based reports, with community-reported gaps for WAS-specific scan import; no Snyk AppRisk integration found at all. Source: </t>
          </r>
          <r>
            <rPr>
              <color rgb="000563C1"/>
              <u val="single"/>
            </rPr>
            <t>technologypartners.qualys.com</t>
          </r>
          <r>
            <t xml:space="preserve"> ArmorCode partner page, docs.defectdojo.com Qualys parser</t>
          </r>
        </is>
      </c>
      <c r="F23" s="16" t="inlineStr">
        <is>
          <t>paper</t>
        </is>
      </c>
      <c r="G23" s="19" t="n"/>
      <c r="H23" s="20" t="n"/>
      <c r="I23" s="21" t="n"/>
      <c r="J23" s="19" t="n"/>
      <c r="K23" s="20" t="n"/>
      <c r="L23" s="21" t="n"/>
      <c r="M23" s="19" t="n"/>
      <c r="N23" s="20" t="n"/>
      <c r="O23" s="21" t="n"/>
      <c r="P23" s="19" t="n"/>
      <c r="Q23" s="20" t="n"/>
      <c r="R23" s="21" t="n"/>
      <c r="S23" s="19" t="n"/>
      <c r="T23" s="20" t="n"/>
      <c r="U23" s="21" t="n"/>
      <c r="V23" s="19" t="n"/>
      <c r="W23" s="20" t="n"/>
      <c r="X23" s="20" t="n"/>
      <c r="Y23" s="17">
        <f>IF(ISBLANK(V23),"",V23-D23)</f>
        <v/>
      </c>
      <c r="Z23" s="22" t="inlineStr">
        <is>
          <t>aspm-integration</t>
        </is>
      </c>
      <c r="AA23" s="22" t="n">
        <v>0</v>
      </c>
      <c r="AB23" s="22">
        <f>IF(ISBLANK(V23),D23,V23)</f>
        <v/>
      </c>
    </row>
    <row r="24">
      <c r="A24" s="11" t="inlineStr">
        <is>
          <t>Finding Validation / Proof-of-Exploit</t>
        </is>
      </c>
      <c r="B24" s="11" t="inlineStr">
        <is>
          <t>Detection Quality</t>
        </is>
      </c>
      <c r="C24" s="6" t="n">
        <v>2</v>
      </c>
      <c r="D24" s="6" t="n">
        <v>2.5</v>
      </c>
      <c r="E24" s="12" t="inlineStr">
        <is>
          <r>
            <t xml:space="preserve">A real product, Qualys TruConfirm ('Agent-Led Safe Exploit Validation'), was found during independent gap-check, but its scope (WAS/web-app findings vs. VMDR/infrastructure-only) could not be confirmed either way -- flagged as an unresolved lead rather than a confirmed WAS capability. TruRisk itself factors exploitability into a risk score, which is prioritization, not the same as confirming a specific finding is exploitable with proof. Source: </t>
          </r>
          <r>
            <rPr>
              <color rgb="000563C1"/>
              <u val="single"/>
            </rPr>
            <t>qualys.com/apps/truconfirm</t>
          </r>
        </is>
      </c>
      <c r="F24" s="11" t="inlineStr">
        <is>
          <t>paper</t>
        </is>
      </c>
      <c r="G24" s="13" t="n"/>
      <c r="H24" s="14" t="n"/>
      <c r="I24" s="15" t="n"/>
      <c r="J24" s="13" t="n"/>
      <c r="K24" s="14" t="n"/>
      <c r="L24" s="15" t="n"/>
      <c r="M24" s="13" t="n"/>
      <c r="N24" s="14" t="n"/>
      <c r="O24" s="15" t="n"/>
      <c r="P24" s="13" t="n"/>
      <c r="Q24" s="14" t="n"/>
      <c r="R24" s="15" t="n"/>
      <c r="S24" s="13" t="n"/>
      <c r="T24" s="14" t="n"/>
      <c r="U24" s="15" t="n"/>
      <c r="V24" s="13" t="n"/>
      <c r="W24" s="14" t="n"/>
      <c r="X24" s="14" t="n"/>
      <c r="Y24" s="6">
        <f>IF(ISBLANK(V24),"",V24-D24)</f>
        <v/>
      </c>
      <c r="Z24" t="inlineStr">
        <is>
          <t>finding-validation-proof-of-exploit</t>
        </is>
      </c>
      <c r="AA24" t="n">
        <v>0</v>
      </c>
      <c r="AB24">
        <f>IF(ISBLANK(V24),D24,V24)</f>
        <v/>
      </c>
    </row>
    <row r="25">
      <c r="A25" s="16" t="inlineStr">
        <is>
          <t>Historical Risk Trend Dashboards</t>
        </is>
      </c>
      <c r="B25" s="16" t="inlineStr">
        <is>
          <t>Reporting &amp; Extensibility</t>
        </is>
      </c>
      <c r="C25" s="17" t="n">
        <v>2</v>
      </c>
      <c r="D25" s="17" t="n">
        <v>4</v>
      </c>
      <c r="E25" s="18" t="inlineStr">
        <is>
          <r>
            <t xml:space="preserve">TruRisk dashboards are explicitly configurable to track control objectives, identify gaps, and monitor trends across hybrid environments, fed in part by WAS data. Source: </t>
          </r>
          <r>
            <rPr>
              <color rgb="000563C1"/>
              <u val="single"/>
            </rPr>
            <t>blog.qualys.com</t>
          </r>
          <r>
            <t xml:space="preserve"> TruRisk platform post</t>
          </r>
        </is>
      </c>
      <c r="F25" s="16" t="inlineStr">
        <is>
          <t>paper</t>
        </is>
      </c>
      <c r="G25" s="19" t="n"/>
      <c r="H25" s="20" t="n"/>
      <c r="I25" s="21" t="n"/>
      <c r="J25" s="19" t="n"/>
      <c r="K25" s="20" t="n"/>
      <c r="L25" s="21" t="n"/>
      <c r="M25" s="19" t="n"/>
      <c r="N25" s="20" t="n"/>
      <c r="O25" s="21" t="n"/>
      <c r="P25" s="19" t="n"/>
      <c r="Q25" s="20" t="n"/>
      <c r="R25" s="21" t="n"/>
      <c r="S25" s="19" t="n"/>
      <c r="T25" s="20" t="n"/>
      <c r="U25" s="21" t="n"/>
      <c r="V25" s="19" t="n"/>
      <c r="W25" s="20" t="n"/>
      <c r="X25" s="20" t="n"/>
      <c r="Y25" s="17">
        <f>IF(ISBLANK(V25),"",V25-D25)</f>
        <v/>
      </c>
      <c r="Z25" s="22" t="inlineStr">
        <is>
          <t>historical-risk-trend-dashboards</t>
        </is>
      </c>
      <c r="AA25" s="22" t="n">
        <v>0</v>
      </c>
      <c r="AB25" s="22">
        <f>IF(ISBLANK(V25),D25,V25)</f>
        <v/>
      </c>
    </row>
    <row r="26">
      <c r="A26" s="11" t="inlineStr">
        <is>
          <t>Reporting Quality / Exportability</t>
        </is>
      </c>
      <c r="B26" s="11" t="inlineStr">
        <is>
          <t>Reporting &amp; Extensibility</t>
        </is>
      </c>
      <c r="C26" s="6" t="n">
        <v>2</v>
      </c>
      <c r="D26" s="6" t="n">
        <v>3.5</v>
      </c>
      <c r="E26" s="12" t="inlineStr">
        <is>
          <r>
            <t xml:space="preserve">TruRisk reports and a PCI ASV compliance/remediation-guide report pair confirmed; no CSV/JSON export or direct ticketing-integration citation found in this specific pass, though ticketing connectors exist separately. Source: </t>
          </r>
          <r>
            <rPr>
              <color rgb="000563C1"/>
              <u val="single"/>
            </rPr>
            <t>qualys.com</t>
          </r>
          <r>
            <t xml:space="preserve"> PCI ASV compliance page</t>
          </r>
        </is>
      </c>
      <c r="F26" s="11" t="inlineStr">
        <is>
          <t>paper</t>
        </is>
      </c>
      <c r="G26" s="13" t="n"/>
      <c r="H26" s="14" t="n"/>
      <c r="I26" s="15" t="n"/>
      <c r="J26" s="13" t="n"/>
      <c r="K26" s="14" t="n"/>
      <c r="L26" s="15" t="n"/>
      <c r="M26" s="13" t="n"/>
      <c r="N26" s="14" t="n"/>
      <c r="O26" s="15" t="n"/>
      <c r="P26" s="13" t="n"/>
      <c r="Q26" s="14" t="n"/>
      <c r="R26" s="15" t="n"/>
      <c r="S26" s="13" t="n"/>
      <c r="T26" s="14" t="n"/>
      <c r="U26" s="15" t="n"/>
      <c r="V26" s="13" t="n"/>
      <c r="W26" s="14" t="n"/>
      <c r="X26" s="14" t="n"/>
      <c r="Y26" s="6">
        <f>IF(ISBLANK(V26),"",V26-D26)</f>
        <v/>
      </c>
      <c r="Z26" t="inlineStr">
        <is>
          <t>reporting-exportability</t>
        </is>
      </c>
      <c r="AA26" t="n">
        <v>0</v>
      </c>
      <c r="AB26">
        <f>IF(ISBLANK(V26),D26,V26)</f>
        <v/>
      </c>
    </row>
    <row r="27">
      <c r="A27" s="16" t="inlineStr">
        <is>
          <t>Scan Performance &amp; Scalability</t>
        </is>
      </c>
      <c r="B27" s="16" t="inlineStr">
        <is>
          <t>Production Safety &amp; Operability</t>
        </is>
      </c>
      <c r="C27" s="17" t="n">
        <v>2</v>
      </c>
      <c r="D27" s="17" t="n">
        <v>3.5</v>
      </c>
      <c r="E27" s="18" t="inlineStr">
        <is>
          <r>
            <t xml:space="preserve">Vendor claims ML-optimized scan patterns reduce scan time by up to 80% on large applications -- self-reported, but a specific number. Source: </t>
          </r>
          <r>
            <rPr>
              <color rgb="000563C1"/>
              <u val="single"/>
            </rPr>
            <t>qualys.com/apps/web-app-scanning</t>
          </r>
        </is>
      </c>
      <c r="F27" s="16" t="inlineStr">
        <is>
          <t>paper</t>
        </is>
      </c>
      <c r="G27" s="19" t="n"/>
      <c r="H27" s="20" t="n"/>
      <c r="I27" s="21" t="n"/>
      <c r="J27" s="19" t="n"/>
      <c r="K27" s="20" t="n"/>
      <c r="L27" s="21" t="n"/>
      <c r="M27" s="19" t="n"/>
      <c r="N27" s="20" t="n"/>
      <c r="O27" s="21" t="n"/>
      <c r="P27" s="19" t="n"/>
      <c r="Q27" s="20" t="n"/>
      <c r="R27" s="21" t="n"/>
      <c r="S27" s="19" t="n"/>
      <c r="T27" s="20" t="n"/>
      <c r="U27" s="21" t="n"/>
      <c r="V27" s="19" t="n"/>
      <c r="W27" s="20" t="n"/>
      <c r="X27" s="20" t="n"/>
      <c r="Y27" s="17">
        <f>IF(ISBLANK(V27),"",V27-D27)</f>
        <v/>
      </c>
      <c r="Z27" s="22" t="inlineStr">
        <is>
          <t>scan-performance-scalability</t>
        </is>
      </c>
      <c r="AA27" s="22" t="n">
        <v>0</v>
      </c>
      <c r="AB27" s="22">
        <f>IF(ISBLANK(V27),D27,V27)</f>
        <v/>
      </c>
    </row>
    <row r="28">
      <c r="A28" s="11" t="inlineStr">
        <is>
          <t>Sensitive Financial Data Exposure Detection</t>
        </is>
      </c>
      <c r="B28" s="11" t="inlineStr">
        <is>
          <t>Detection Quality</t>
        </is>
      </c>
      <c r="C28" s="6" t="n">
        <v>2</v>
      </c>
      <c r="D28" s="6" t="n">
        <v>4.5</v>
      </c>
      <c r="E28" s="12" t="inlineStr">
        <is>
          <r>
            <t xml:space="preserve">Direct, dedicated evidence: WAS's own sensitive-content detection types explicitly include 'CC' (credit card number) and 'SSN' (Social Security Number, US-only) detections, plus CUSTOM for user-defined sensitive content -- the clearest hit of any of the four newly-added candidates on this criterion. Misses explicit account/routing-number detection. Source: </t>
          </r>
          <r>
            <rPr>
              <color rgb="000563C1"/>
              <u val="single"/>
            </rPr>
            <t>qualysguard.qg2.apps.qualys.com</t>
          </r>
          <r>
            <t xml:space="preserve"> manage detections docs</t>
          </r>
        </is>
      </c>
      <c r="F28" s="11" t="inlineStr">
        <is>
          <t>paper</t>
        </is>
      </c>
      <c r="G28" s="13" t="n"/>
      <c r="H28" s="14" t="n"/>
      <c r="I28" s="15" t="n"/>
      <c r="J28" s="13" t="n"/>
      <c r="K28" s="14" t="n"/>
      <c r="L28" s="15" t="n"/>
      <c r="M28" s="13" t="n"/>
      <c r="N28" s="14" t="n"/>
      <c r="O28" s="15" t="n"/>
      <c r="P28" s="13" t="n"/>
      <c r="Q28" s="14" t="n"/>
      <c r="R28" s="15" t="n"/>
      <c r="S28" s="13" t="n"/>
      <c r="T28" s="14" t="n"/>
      <c r="U28" s="15" t="n"/>
      <c r="V28" s="13" t="n"/>
      <c r="W28" s="14" t="n"/>
      <c r="X28" s="14" t="n"/>
      <c r="Y28" s="6">
        <f>IF(ISBLANK(V28),"",V28-D28)</f>
        <v/>
      </c>
      <c r="Z28" t="inlineStr">
        <is>
          <t>sensitive-financial-data-exposure</t>
        </is>
      </c>
      <c r="AA28" t="n">
        <v>0</v>
      </c>
      <c r="AB28">
        <f>IF(ISBLANK(V28),D28,V28)</f>
        <v/>
      </c>
    </row>
    <row r="29">
      <c r="A29" s="16" t="inlineStr">
        <is>
          <t>Ticketing &amp; Collaboration Integration</t>
        </is>
      </c>
      <c r="B29" s="16" t="inlineStr">
        <is>
          <t>Reporting &amp; Extensibility</t>
        </is>
      </c>
      <c r="C29" s="17" t="n">
        <v>2</v>
      </c>
      <c r="D29" s="17" t="n">
        <v>4</v>
      </c>
      <c r="E29" s="18" t="inlineStr">
        <is>
          <r>
            <t xml:space="preserve">Native Jira Connector confirmed directly; ServiceNow and Splunk also listed among 100+ Qualys connectors. Source: </t>
          </r>
          <r>
            <rPr>
              <color rgb="000563C1"/>
              <u val="single"/>
            </rPr>
            <t>docs.qualys.com</t>
          </r>
          <r>
            <t xml:space="preserve"> Jira connector</t>
          </r>
        </is>
      </c>
      <c r="F29" s="16" t="inlineStr">
        <is>
          <t>paper</t>
        </is>
      </c>
      <c r="G29" s="19" t="n"/>
      <c r="H29" s="20" t="n"/>
      <c r="I29" s="21" t="n"/>
      <c r="J29" s="19" t="n"/>
      <c r="K29" s="20" t="n"/>
      <c r="L29" s="21" t="n"/>
      <c r="M29" s="19" t="n"/>
      <c r="N29" s="20" t="n"/>
      <c r="O29" s="21" t="n"/>
      <c r="P29" s="19" t="n"/>
      <c r="Q29" s="20" t="n"/>
      <c r="R29" s="21" t="n"/>
      <c r="S29" s="19" t="n"/>
      <c r="T29" s="20" t="n"/>
      <c r="U29" s="21" t="n"/>
      <c r="V29" s="19" t="n"/>
      <c r="W29" s="20" t="n"/>
      <c r="X29" s="20" t="n"/>
      <c r="Y29" s="17">
        <f>IF(ISBLANK(V29),"",V29-D29)</f>
        <v/>
      </c>
      <c r="Z29" s="22" t="inlineStr">
        <is>
          <t>ticketing-collaboration-integration</t>
        </is>
      </c>
      <c r="AA29" s="22" t="n">
        <v>0</v>
      </c>
      <c r="AB29" s="22">
        <f>IF(ISBLANK(V29),D29,V29)</f>
        <v/>
      </c>
    </row>
    <row r="30">
      <c r="A30" s="11" t="inlineStr">
        <is>
          <t>Extensibility / Custom Rules</t>
        </is>
      </c>
      <c r="B30" s="11" t="inlineStr">
        <is>
          <t>Reporting &amp; Extensibility</t>
        </is>
      </c>
      <c r="C30" s="6" t="n">
        <v>1</v>
      </c>
      <c r="D30" s="6" t="n">
        <v>1.5</v>
      </c>
      <c r="E30" s="12" t="inlineStr">
        <is>
          <r>
            <t xml:space="preserve">Confirmed weak after independent gap-check: WAS itself only offers 'Search Lists' (static/dynamic QID include/exclude sets) for scoping which existing detections run -- filtering, not new custom-rule authoring. The 'Custom Rules' (Virtual Patch/Access/Control Rules) feature found initially is documented under Qualys's separate WAF product, out of scope for WAS. Source: </t>
          </r>
          <r>
            <rPr>
              <color rgb="000563C1"/>
              <u val="single"/>
            </rPr>
            <t>qualysguard.qg2.apps.qualys.com</t>
          </r>
          <r>
            <t xml:space="preserve"> Search Lists docs</t>
          </r>
        </is>
      </c>
      <c r="F30" s="11" t="inlineStr">
        <is>
          <t>paper</t>
        </is>
      </c>
      <c r="G30" s="13" t="n"/>
      <c r="H30" s="14" t="n"/>
      <c r="I30" s="15" t="n"/>
      <c r="J30" s="13" t="n"/>
      <c r="K30" s="14" t="n"/>
      <c r="L30" s="15" t="n"/>
      <c r="M30" s="13" t="n"/>
      <c r="N30" s="14" t="n"/>
      <c r="O30" s="15" t="n"/>
      <c r="P30" s="13" t="n"/>
      <c r="Q30" s="14" t="n"/>
      <c r="R30" s="15" t="n"/>
      <c r="S30" s="13" t="n"/>
      <c r="T30" s="14" t="n"/>
      <c r="U30" s="15" t="n"/>
      <c r="V30" s="13" t="n"/>
      <c r="W30" s="14" t="n"/>
      <c r="X30" s="14" t="n"/>
      <c r="Y30" s="6">
        <f>IF(ISBLANK(V30),"",V30-D30)</f>
        <v/>
      </c>
      <c r="Z30" t="inlineStr">
        <is>
          <t>extensibility-custom-rules</t>
        </is>
      </c>
      <c r="AA30" t="n">
        <v>0</v>
      </c>
      <c r="AB30">
        <f>IF(ISBLANK(V30),D30,V30)</f>
        <v/>
      </c>
    </row>
    <row r="31">
      <c r="A31" s="16" t="inlineStr">
        <is>
          <t>IDE / Local Developer Tooling</t>
        </is>
      </c>
      <c r="B31" s="16" t="inlineStr">
        <is>
          <t>Developer Experience</t>
        </is>
      </c>
      <c r="C31" s="17" t="n">
        <v>1</v>
      </c>
      <c r="D31" s="17" t="n">
        <v>1</v>
      </c>
      <c r="E31" s="18" t="inlineStr">
        <is>
          <r>
            <t xml:space="preserve">Confirmed absent after independent gap-check: no IDE plugin (VS Code, IntelliJ, Eclipse) or pre-commit tool found anywhere for WAS; only the CI/CD Jenkins plugin exists, which is pipeline integration, not local/IDE tooling. Source: </t>
          </r>
          <r>
            <rPr>
              <color rgb="000563C1"/>
              <u val="single"/>
            </rPr>
            <t>plugins.jenkins.io/qualys-was</t>
          </r>
        </is>
      </c>
      <c r="F31" s="16" t="inlineStr">
        <is>
          <t>paper</t>
        </is>
      </c>
      <c r="G31" s="19" t="n"/>
      <c r="H31" s="20" t="n"/>
      <c r="I31" s="21" t="n"/>
      <c r="J31" s="19" t="n"/>
      <c r="K31" s="20" t="n"/>
      <c r="L31" s="21" t="n"/>
      <c r="M31" s="19" t="n"/>
      <c r="N31" s="20" t="n"/>
      <c r="O31" s="21" t="n"/>
      <c r="P31" s="19" t="n"/>
      <c r="Q31" s="20" t="n"/>
      <c r="R31" s="21" t="n"/>
      <c r="S31" s="19" t="n"/>
      <c r="T31" s="20" t="n"/>
      <c r="U31" s="21" t="n"/>
      <c r="V31" s="19" t="n"/>
      <c r="W31" s="20" t="n"/>
      <c r="X31" s="20" t="n"/>
      <c r="Y31" s="17">
        <f>IF(ISBLANK(V31),"",V31-D31)</f>
        <v/>
      </c>
      <c r="Z31" s="22" t="inlineStr">
        <is>
          <t>ide-local-dev-tooling</t>
        </is>
      </c>
      <c r="AA31" s="22" t="n">
        <v>0</v>
      </c>
      <c r="AB31" s="22">
        <f>IF(ISBLANK(V31),D31,V31)</f>
        <v/>
      </c>
    </row>
    <row r="32">
      <c r="A32" s="11" t="inlineStr">
        <is>
          <t>SIEM/SOAR Integration</t>
        </is>
      </c>
      <c r="B32" s="11" t="inlineStr">
        <is>
          <t>Reporting &amp; Extensibility</t>
        </is>
      </c>
      <c r="C32" s="6" t="n">
        <v>1</v>
      </c>
      <c r="D32" s="6" t="n">
        <v>4</v>
      </c>
      <c r="E32" s="12" t="inlineStr">
        <is>
          <r>
            <t xml:space="preserve">Revised up after independent gap-check: a dedicated 'Qualys WAS App for Splunk Enterprise' (Splunkbase app 3210) exists, distinct from the generic VMDR-scoped 'Qualys Vulnerability Management' app (app 6565), with its own real-time dashboards and analytics for web-application-scanning data specifically. Source: </t>
          </r>
          <r>
            <rPr>
              <color rgb="000563C1"/>
              <u val="single"/>
            </rPr>
            <t>splunkbase.splunk.com/app/3210</t>
          </r>
        </is>
      </c>
      <c r="F32" s="11" t="inlineStr">
        <is>
          <t>paper</t>
        </is>
      </c>
      <c r="G32" s="13" t="n"/>
      <c r="H32" s="14" t="n"/>
      <c r="I32" s="15" t="n"/>
      <c r="J32" s="13" t="n"/>
      <c r="K32" s="14" t="n"/>
      <c r="L32" s="15" t="n"/>
      <c r="M32" s="13" t="n"/>
      <c r="N32" s="14" t="n"/>
      <c r="O32" s="15" t="n"/>
      <c r="P32" s="13" t="n"/>
      <c r="Q32" s="14" t="n"/>
      <c r="R32" s="15" t="n"/>
      <c r="S32" s="13" t="n"/>
      <c r="T32" s="14" t="n"/>
      <c r="U32" s="15" t="n"/>
      <c r="V32" s="13" t="n"/>
      <c r="W32" s="14" t="n"/>
      <c r="X32" s="14" t="n"/>
      <c r="Y32" s="6">
        <f>IF(ISBLANK(V32),"",V32-D32)</f>
        <v/>
      </c>
      <c r="Z32" t="inlineStr">
        <is>
          <t>siem-soar-integration</t>
        </is>
      </c>
      <c r="AA32" t="n">
        <v>0</v>
      </c>
      <c r="AB32">
        <f>IF(ISBLANK(V32),D32,V32)</f>
        <v/>
      </c>
    </row>
    <row r="33">
      <c r="A33" s="16" t="inlineStr">
        <is>
          <t>Third-Party/Partner API Risk Assessment</t>
        </is>
      </c>
      <c r="B33" s="16" t="inlineStr">
        <is>
          <t>Coverage</t>
        </is>
      </c>
      <c r="C33" s="17" t="n">
        <v>1</v>
      </c>
      <c r="D33" s="17" t="n">
        <v>1.5</v>
      </c>
      <c r="E33" s="18" t="inlineStr">
        <is>
          <r>
            <t xml:space="preserve">Confirmed absent after independent gap-check: Qualys's partner/vendor-asset content is under CSAM ('Import Third-Party Assets API') for general asset inventory, not a WAS-specific partner-API-differentiated scanning or risk-program-formatted output. Source: </t>
          </r>
          <r>
            <rPr>
              <color rgb="000563C1"/>
              <u val="single"/>
            </rPr>
            <t>qualys.com/faqs-resources-attack-surface-management</t>
          </r>
        </is>
      </c>
      <c r="F33" s="16" t="inlineStr">
        <is>
          <t>paper</t>
        </is>
      </c>
      <c r="G33" s="19" t="n"/>
      <c r="H33" s="20" t="n"/>
      <c r="I33" s="21" t="n"/>
      <c r="J33" s="19" t="n"/>
      <c r="K33" s="20" t="n"/>
      <c r="L33" s="21" t="n"/>
      <c r="M33" s="19" t="n"/>
      <c r="N33" s="20" t="n"/>
      <c r="O33" s="21" t="n"/>
      <c r="P33" s="19" t="n"/>
      <c r="Q33" s="20" t="n"/>
      <c r="R33" s="21" t="n"/>
      <c r="S33" s="19" t="n"/>
      <c r="T33" s="20" t="n"/>
      <c r="U33" s="21" t="n"/>
      <c r="V33" s="19" t="n"/>
      <c r="W33" s="20" t="n"/>
      <c r="X33" s="20" t="n"/>
      <c r="Y33" s="17">
        <f>IF(ISBLANK(V33),"",V33-D33)</f>
        <v/>
      </c>
      <c r="Z33" s="22" t="inlineStr">
        <is>
          <t>third-party-partner-api-risk</t>
        </is>
      </c>
      <c r="AA33" s="22" t="n">
        <v>0</v>
      </c>
      <c r="AB33" s="22">
        <f>IF(ISBLANK(V33),D33,V33)</f>
        <v/>
      </c>
    </row>
    <row r="34">
      <c r="A34" s="11" t="inlineStr">
        <is>
          <t>Asset Discovery &amp; Inventory Tracking</t>
        </is>
      </c>
      <c r="B34" s="11" t="inlineStr">
        <is>
          <t>Coverage</t>
        </is>
      </c>
      <c r="C34" s="6" t="n">
        <v>1</v>
      </c>
      <c r="D34" s="6" t="n">
        <v>5</v>
      </c>
      <c r="E34" s="12" t="inlineStr">
        <is>
          <r>
            <t xml:space="preserve">Qualys EASM explicitly probes 'like an attacker would' -- starting from org name and seed domains, expanding via DNS records, SSL/TLS certificate transparency logs, WHOIS data, hosting fingerprints, and cloud provider metadata -- to map every internet-facing asset including shadow IT and forgotten test servers. Directly matches the rubric's top tier. Source: </t>
          </r>
          <r>
            <rPr>
              <color rgb="000563C1"/>
              <u val="single"/>
            </rPr>
            <t>qualys.com</t>
          </r>
          <r>
            <t xml:space="preserve"> attack surface management FAQ</t>
          </r>
        </is>
      </c>
      <c r="F34" s="11" t="inlineStr">
        <is>
          <t>paper</t>
        </is>
      </c>
      <c r="G34" s="13" t="n"/>
      <c r="H34" s="14" t="n"/>
      <c r="I34" s="15" t="n"/>
      <c r="J34" s="13" t="n"/>
      <c r="K34" s="14" t="n"/>
      <c r="L34" s="15" t="n"/>
      <c r="M34" s="13" t="n"/>
      <c r="N34" s="14" t="n"/>
      <c r="O34" s="15" t="n"/>
      <c r="P34" s="13" t="n"/>
      <c r="Q34" s="14" t="n"/>
      <c r="R34" s="15" t="n"/>
      <c r="S34" s="13" t="n"/>
      <c r="T34" s="14" t="n"/>
      <c r="U34" s="15" t="n"/>
      <c r="V34" s="13" t="n"/>
      <c r="W34" s="14" t="n"/>
      <c r="X34" s="14" t="n"/>
      <c r="Y34" s="6">
        <f>IF(ISBLANK(V34),"",V34-D34)</f>
        <v/>
      </c>
      <c r="Z34" t="inlineStr">
        <is>
          <t>asset-discovery-inventory</t>
        </is>
      </c>
      <c r="AA34" t="n">
        <v>0</v>
      </c>
      <c r="AB34">
        <f>IF(ISBLANK(V34),D34,V34)</f>
        <v/>
      </c>
    </row>
    <row r="35">
      <c r="A35" s="16" t="inlineStr">
        <is>
          <t>Auto-Remediation / Auto-PR</t>
        </is>
      </c>
      <c r="B35" s="16" t="inlineStr">
        <is>
          <t>Developer Experience</t>
        </is>
      </c>
      <c r="C35" s="17" t="n">
        <v>0</v>
      </c>
      <c r="D35" s="17" t="n">
        <v>1</v>
      </c>
      <c r="E35" s="18" t="inlineStr">
        <is>
          <r>
            <t xml:space="preserve">Confirmed absent for WAS after independent gap-check: Qualys does have an 'Auto-Remediation' feature, but it is scoped to Policy Compliance (CAR scripts fixing infrastructure misconfigurations) and VMDR patch/ticket remediation -- not WAS, and not code-fix/PR generation. Source: </t>
          </r>
          <r>
            <rPr>
              <color rgb="000563C1"/>
              <u val="single"/>
            </rPr>
            <t>blog.qualys.com/product-tech/2023/04/03/augment-security-asset-tagging-with-custom-assessment-and-remediation-car</t>
          </r>
        </is>
      </c>
      <c r="F35" s="16" t="inlineStr">
        <is>
          <t>paper</t>
        </is>
      </c>
      <c r="G35" s="19" t="n"/>
      <c r="H35" s="20" t="n"/>
      <c r="I35" s="21" t="n"/>
      <c r="J35" s="19" t="n"/>
      <c r="K35" s="20" t="n"/>
      <c r="L35" s="21" t="n"/>
      <c r="M35" s="19" t="n"/>
      <c r="N35" s="20" t="n"/>
      <c r="O35" s="21" t="n"/>
      <c r="P35" s="19" t="n"/>
      <c r="Q35" s="20" t="n"/>
      <c r="R35" s="21" t="n"/>
      <c r="S35" s="19" t="n"/>
      <c r="T35" s="20" t="n"/>
      <c r="U35" s="21" t="n"/>
      <c r="V35" s="19" t="n"/>
      <c r="W35" s="20" t="n"/>
      <c r="X35" s="20" t="n"/>
      <c r="Y35" s="17">
        <f>IF(ISBLANK(V35),"",V35-D35)</f>
        <v/>
      </c>
      <c r="Z35" s="22" t="inlineStr">
        <is>
          <t>auto-remediation-pr</t>
        </is>
      </c>
      <c r="AA35" s="22" t="n">
        <v>0</v>
      </c>
      <c r="AB35" s="22">
        <f>IF(ISBLANK(V35),D35,V35)</f>
        <v/>
      </c>
    </row>
    <row r="36">
      <c r="A36" s="11" t="inlineStr">
        <is>
          <t>Incremental / Differential Scanning</t>
        </is>
      </c>
      <c r="B36" s="11" t="inlineStr">
        <is>
          <t>Production Safety &amp; Operability</t>
        </is>
      </c>
      <c r="C36" s="6" t="n">
        <v>0</v>
      </c>
      <c r="D36" s="6" t="n">
        <v>4.5</v>
      </c>
      <c r="E36" s="12" t="inlineStr">
        <is>
          <r>
            <t xml:space="preserve">Revised up substantially after independent gap-check: Qualys has offered 'Progressive Scanning' since 2015, explicitly reusing prior-scan data and scanning only the parts of a website that changed between scans, plus a newer 'AI-Powered Scan Optimization' feature. Source: </t>
          </r>
          <r>
            <rPr>
              <color rgb="000563C1"/>
              <u val="single"/>
            </rPr>
            <t>securityweek.com</t>
          </r>
          <r>
            <t xml:space="preserve"> Qualys Progressive Scanning, docs.qualys.com AI-Powered Scan Optimization</t>
          </r>
        </is>
      </c>
      <c r="F36" s="11" t="inlineStr">
        <is>
          <t>paper</t>
        </is>
      </c>
      <c r="G36" s="13" t="n"/>
      <c r="H36" s="14" t="n"/>
      <c r="I36" s="15" t="n"/>
      <c r="J36" s="13" t="n"/>
      <c r="K36" s="14" t="n"/>
      <c r="L36" s="15" t="n"/>
      <c r="M36" s="13" t="n"/>
      <c r="N36" s="14" t="n"/>
      <c r="O36" s="15" t="n"/>
      <c r="P36" s="13" t="n"/>
      <c r="Q36" s="14" t="n"/>
      <c r="R36" s="15" t="n"/>
      <c r="S36" s="13" t="n"/>
      <c r="T36" s="14" t="n"/>
      <c r="U36" s="15" t="n"/>
      <c r="V36" s="13" t="n"/>
      <c r="W36" s="14" t="n"/>
      <c r="X36" s="14" t="n"/>
      <c r="Y36" s="6">
        <f>IF(ISBLANK(V36),"",V36-D36)</f>
        <v/>
      </c>
      <c r="Z36" t="inlineStr">
        <is>
          <t>incremental-differential-scanning</t>
        </is>
      </c>
      <c r="AA36" t="n">
        <v>0</v>
      </c>
      <c r="AB36">
        <f>IF(ISBLANK(V36),D36,V36)</f>
        <v/>
      </c>
    </row>
    <row r="37" ht="20" customHeight="1">
      <c r="A37" s="23" t="inlineStr">
        <is>
          <t>Summary</t>
        </is>
      </c>
    </row>
    <row r="38">
      <c r="A38" s="24" t="inlineStr">
        <is>
          <t>Coverage</t>
        </is>
      </c>
      <c r="B38" s="24" t="n"/>
      <c r="C38" s="24">
        <f>SUMPRODUCT((B4:B36="Coverage")*C4:C36*AB4:AB36*(1-AA4:AA36))/5</f>
        <v/>
      </c>
      <c r="D38" s="24">
        <f>TEXT(C38,"0.0")&amp;"/"&amp;TEXT(E38,"0")&amp;" available points"</f>
        <v/>
      </c>
      <c r="E38" s="24">
        <f>SUMPRODUCT((B4:B36="Coverage")*C4:C36*(1-AA4:AA36))</f>
        <v/>
      </c>
      <c r="F38" s="24" t="n"/>
      <c r="G38" s="24" t="n"/>
      <c r="H38" s="24" t="n"/>
      <c r="I38" s="24" t="n"/>
      <c r="J38" s="24" t="n"/>
      <c r="K38" s="24" t="n"/>
      <c r="L38" s="24" t="n"/>
      <c r="M38" s="24" t="n"/>
      <c r="N38" s="24" t="n"/>
      <c r="O38" s="24" t="n"/>
      <c r="P38" s="24" t="n"/>
      <c r="Q38" s="24" t="n"/>
      <c r="R38" s="24" t="n"/>
      <c r="S38" s="24" t="n"/>
      <c r="T38" s="24" t="n"/>
      <c r="U38" s="24" t="n"/>
      <c r="V38" s="24" t="n"/>
      <c r="W38" s="24" t="n"/>
      <c r="X38" s="24" t="n"/>
      <c r="Y38" s="24" t="n"/>
      <c r="Z38" s="24" t="n"/>
      <c r="AA38" s="24" t="n"/>
      <c r="AB38" s="24" t="n"/>
    </row>
    <row r="39">
      <c r="A39" t="inlineStr">
        <is>
          <t>Detection Quality</t>
        </is>
      </c>
      <c r="C39">
        <f>SUMPRODUCT((B4:B36="Detection Quality")*C4:C36*AB4:AB36*(1-AA4:AA36))/5</f>
        <v/>
      </c>
      <c r="D39">
        <f>TEXT(C39,"0.0")&amp;"/"&amp;TEXT(E39,"0")&amp;" available points"</f>
        <v/>
      </c>
      <c r="E39">
        <f>SUMPRODUCT((B4:B36="Detection Quality")*C4:C36*(1-AA4:AA36))</f>
        <v/>
      </c>
    </row>
    <row r="40">
      <c r="A40" t="inlineStr">
        <is>
          <t>Production Safety &amp; Operability</t>
        </is>
      </c>
      <c r="C40">
        <f>SUMPRODUCT((B4:B36="Production Safety &amp; Operability")*C4:C36*AB4:AB36*(1-AA4:AA36))/5</f>
        <v/>
      </c>
      <c r="D40">
        <f>TEXT(C40,"0.0")&amp;"/"&amp;TEXT(E40,"0")&amp;" available points"</f>
        <v/>
      </c>
      <c r="E40">
        <f>SUMPRODUCT((B4:B36="Production Safety &amp; Operability")*C4:C36*(1-AA4:AA36))</f>
        <v/>
      </c>
    </row>
    <row r="41">
      <c r="A41" t="inlineStr">
        <is>
          <t>Developer Experience</t>
        </is>
      </c>
      <c r="C41">
        <f>SUMPRODUCT((B4:B36="Developer Experience")*C4:C36*AB4:AB36*(1-AA4:AA36))/5</f>
        <v/>
      </c>
      <c r="D41">
        <f>TEXT(C41,"0.0")&amp;"/"&amp;TEXT(E41,"0")&amp;" available points"</f>
        <v/>
      </c>
      <c r="E41">
        <f>SUMPRODUCT((B4:B36="Developer Experience")*C4:C36*(1-AA4:AA36))</f>
        <v/>
      </c>
    </row>
    <row r="42">
      <c r="A42" t="inlineStr">
        <is>
          <t>Reporting &amp; Extensibility</t>
        </is>
      </c>
      <c r="C42">
        <f>SUMPRODUCT((B4:B36="Reporting &amp; Extensibility")*C4:C36*AB4:AB36*(1-AA4:AA36))/5</f>
        <v/>
      </c>
      <c r="D42">
        <f>TEXT(C42,"0.0")&amp;"/"&amp;TEXT(E42,"0")&amp;" available points"</f>
        <v/>
      </c>
      <c r="E42">
        <f>SUMPRODUCT((B4:B36="Reporting &amp; Extensibility")*C4:C36*(1-AA4:AA36))</f>
        <v/>
      </c>
    </row>
    <row r="43">
      <c r="A43" t="inlineStr">
        <is>
          <t>Deployment &amp; Data Governance</t>
        </is>
      </c>
      <c r="C43">
        <f>SUMPRODUCT((B4:B36="Deployment &amp; Data Governance")*C4:C36*AB4:AB36*(1-AA4:AA36))/5</f>
        <v/>
      </c>
      <c r="D43">
        <f>TEXT(C43,"0.0")&amp;"/"&amp;TEXT(E43,"0")&amp;" available points"</f>
        <v/>
      </c>
      <c r="E43">
        <f>SUMPRODUCT((B4:B36="Deployment &amp; Data Governance")*C4:C36*(1-AA4:AA36))</f>
        <v/>
      </c>
    </row>
    <row r="44">
      <c r="A44" t="inlineStr">
        <is>
          <t>Weighted Total</t>
        </is>
      </c>
      <c r="C44">
        <f>SUMPRODUCT(C4:C36,AB4:AB36,(1-AA4:AA36))/5</f>
        <v/>
      </c>
      <c r="D44">
        <f>TEXT(C44,"0.0")&amp;"/"&amp;TEXT(E44,"0")&amp;" available points"</f>
        <v/>
      </c>
      <c r="E44">
        <f>SUMPRODUCT(C4:C36,(1-AA4:AA36))</f>
        <v/>
      </c>
    </row>
  </sheetData>
  <sheetProtection selectLockedCells="0" selectUnlockedCells="0" sheet="1" objects="0" insertRows="1" insertHyperlinks="1" autoFilter="1" scenarios="0" formatColumns="1" deleteColumns="1" insertColumns="1" pivotTables="1" deleteRows="1" formatCells="1" formatRows="1" sort="1"/>
  <mergeCells count="5">
    <mergeCell ref="G2:I2"/>
    <mergeCell ref="J2:L2"/>
    <mergeCell ref="P2:R2"/>
    <mergeCell ref="M2:O2"/>
    <mergeCell ref="S2:U2"/>
  </mergeCells>
  <conditionalFormatting sqref="G4">
    <cfRule type="cellIs" priority="1" operator="equal" dxfId="0">
      <formula>""</formula>
    </cfRule>
  </conditionalFormatting>
  <conditionalFormatting sqref="J4">
    <cfRule type="cellIs" priority="2" operator="equal" dxfId="0">
      <formula>""</formula>
    </cfRule>
  </conditionalFormatting>
  <conditionalFormatting sqref="M4">
    <cfRule type="cellIs" priority="3" operator="equal" dxfId="0">
      <formula>""</formula>
    </cfRule>
  </conditionalFormatting>
  <conditionalFormatting sqref="P4">
    <cfRule type="cellIs" priority="4" operator="equal" dxfId="0">
      <formula>""</formula>
    </cfRule>
  </conditionalFormatting>
  <conditionalFormatting sqref="S4">
    <cfRule type="cellIs" priority="5" operator="equal" dxfId="0">
      <formula>""</formula>
    </cfRule>
  </conditionalFormatting>
  <conditionalFormatting sqref="V4">
    <cfRule type="cellIs" priority="6" operator="equal" dxfId="0">
      <formula>""</formula>
    </cfRule>
  </conditionalFormatting>
  <conditionalFormatting sqref="G5">
    <cfRule type="cellIs" priority="7" operator="equal" dxfId="0">
      <formula>""</formula>
    </cfRule>
  </conditionalFormatting>
  <conditionalFormatting sqref="J5">
    <cfRule type="cellIs" priority="8" operator="equal" dxfId="0">
      <formula>""</formula>
    </cfRule>
  </conditionalFormatting>
  <conditionalFormatting sqref="M5">
    <cfRule type="cellIs" priority="9" operator="equal" dxfId="0">
      <formula>""</formula>
    </cfRule>
  </conditionalFormatting>
  <conditionalFormatting sqref="P5">
    <cfRule type="cellIs" priority="10" operator="equal" dxfId="0">
      <formula>""</formula>
    </cfRule>
  </conditionalFormatting>
  <conditionalFormatting sqref="S5">
    <cfRule type="cellIs" priority="11" operator="equal" dxfId="0">
      <formula>""</formula>
    </cfRule>
  </conditionalFormatting>
  <conditionalFormatting sqref="V5">
    <cfRule type="cellIs" priority="12" operator="equal" dxfId="0">
      <formula>""</formula>
    </cfRule>
  </conditionalFormatting>
  <conditionalFormatting sqref="G6">
    <cfRule type="cellIs" priority="13" operator="equal" dxfId="0">
      <formula>""</formula>
    </cfRule>
  </conditionalFormatting>
  <conditionalFormatting sqref="J6">
    <cfRule type="cellIs" priority="14" operator="equal" dxfId="0">
      <formula>""</formula>
    </cfRule>
  </conditionalFormatting>
  <conditionalFormatting sqref="M6">
    <cfRule type="cellIs" priority="15" operator="equal" dxfId="0">
      <formula>""</formula>
    </cfRule>
  </conditionalFormatting>
  <conditionalFormatting sqref="P6">
    <cfRule type="cellIs" priority="16" operator="equal" dxfId="0">
      <formula>""</formula>
    </cfRule>
  </conditionalFormatting>
  <conditionalFormatting sqref="S6">
    <cfRule type="cellIs" priority="17" operator="equal" dxfId="0">
      <formula>""</formula>
    </cfRule>
  </conditionalFormatting>
  <conditionalFormatting sqref="V6">
    <cfRule type="cellIs" priority="18" operator="equal" dxfId="0">
      <formula>""</formula>
    </cfRule>
  </conditionalFormatting>
  <conditionalFormatting sqref="G7">
    <cfRule type="cellIs" priority="19" operator="equal" dxfId="0">
      <formula>""</formula>
    </cfRule>
  </conditionalFormatting>
  <conditionalFormatting sqref="J7">
    <cfRule type="cellIs" priority="20" operator="equal" dxfId="0">
      <formula>""</formula>
    </cfRule>
  </conditionalFormatting>
  <conditionalFormatting sqref="M7">
    <cfRule type="cellIs" priority="21" operator="equal" dxfId="0">
      <formula>""</formula>
    </cfRule>
  </conditionalFormatting>
  <conditionalFormatting sqref="P7">
    <cfRule type="cellIs" priority="22" operator="equal" dxfId="0">
      <formula>""</formula>
    </cfRule>
  </conditionalFormatting>
  <conditionalFormatting sqref="S7">
    <cfRule type="cellIs" priority="23" operator="equal" dxfId="0">
      <formula>""</formula>
    </cfRule>
  </conditionalFormatting>
  <conditionalFormatting sqref="V7">
    <cfRule type="cellIs" priority="24" operator="equal" dxfId="0">
      <formula>""</formula>
    </cfRule>
  </conditionalFormatting>
  <conditionalFormatting sqref="G8">
    <cfRule type="cellIs" priority="25" operator="equal" dxfId="0">
      <formula>""</formula>
    </cfRule>
  </conditionalFormatting>
  <conditionalFormatting sqref="J8">
    <cfRule type="cellIs" priority="26" operator="equal" dxfId="0">
      <formula>""</formula>
    </cfRule>
  </conditionalFormatting>
  <conditionalFormatting sqref="M8">
    <cfRule type="cellIs" priority="27" operator="equal" dxfId="0">
      <formula>""</formula>
    </cfRule>
  </conditionalFormatting>
  <conditionalFormatting sqref="P8">
    <cfRule type="cellIs" priority="28" operator="equal" dxfId="0">
      <formula>""</formula>
    </cfRule>
  </conditionalFormatting>
  <conditionalFormatting sqref="S8">
    <cfRule type="cellIs" priority="29" operator="equal" dxfId="0">
      <formula>""</formula>
    </cfRule>
  </conditionalFormatting>
  <conditionalFormatting sqref="V8">
    <cfRule type="cellIs" priority="30" operator="equal" dxfId="0">
      <formula>""</formula>
    </cfRule>
  </conditionalFormatting>
  <conditionalFormatting sqref="G9">
    <cfRule type="cellIs" priority="31" operator="equal" dxfId="0">
      <formula>""</formula>
    </cfRule>
  </conditionalFormatting>
  <conditionalFormatting sqref="J9">
    <cfRule type="cellIs" priority="32" operator="equal" dxfId="0">
      <formula>""</formula>
    </cfRule>
  </conditionalFormatting>
  <conditionalFormatting sqref="M9">
    <cfRule type="cellIs" priority="33" operator="equal" dxfId="0">
      <formula>""</formula>
    </cfRule>
  </conditionalFormatting>
  <conditionalFormatting sqref="P9">
    <cfRule type="cellIs" priority="34" operator="equal" dxfId="0">
      <formula>""</formula>
    </cfRule>
  </conditionalFormatting>
  <conditionalFormatting sqref="S9">
    <cfRule type="cellIs" priority="35" operator="equal" dxfId="0">
      <formula>""</formula>
    </cfRule>
  </conditionalFormatting>
  <conditionalFormatting sqref="V9">
    <cfRule type="cellIs" priority="36" operator="equal" dxfId="0">
      <formula>""</formula>
    </cfRule>
  </conditionalFormatting>
  <conditionalFormatting sqref="G10">
    <cfRule type="cellIs" priority="37" operator="equal" dxfId="0">
      <formula>""</formula>
    </cfRule>
  </conditionalFormatting>
  <conditionalFormatting sqref="J10">
    <cfRule type="cellIs" priority="38" operator="equal" dxfId="0">
      <formula>""</formula>
    </cfRule>
  </conditionalFormatting>
  <conditionalFormatting sqref="M10">
    <cfRule type="cellIs" priority="39" operator="equal" dxfId="0">
      <formula>""</formula>
    </cfRule>
  </conditionalFormatting>
  <conditionalFormatting sqref="P10">
    <cfRule type="cellIs" priority="40" operator="equal" dxfId="0">
      <formula>""</formula>
    </cfRule>
  </conditionalFormatting>
  <conditionalFormatting sqref="S10">
    <cfRule type="cellIs" priority="41" operator="equal" dxfId="0">
      <formula>""</formula>
    </cfRule>
  </conditionalFormatting>
  <conditionalFormatting sqref="V10">
    <cfRule type="cellIs" priority="42" operator="equal" dxfId="0">
      <formula>""</formula>
    </cfRule>
  </conditionalFormatting>
  <conditionalFormatting sqref="G11">
    <cfRule type="cellIs" priority="43" operator="equal" dxfId="0">
      <formula>""</formula>
    </cfRule>
  </conditionalFormatting>
  <conditionalFormatting sqref="J11">
    <cfRule type="cellIs" priority="44" operator="equal" dxfId="0">
      <formula>""</formula>
    </cfRule>
  </conditionalFormatting>
  <conditionalFormatting sqref="M11">
    <cfRule type="cellIs" priority="45" operator="equal" dxfId="0">
      <formula>""</formula>
    </cfRule>
  </conditionalFormatting>
  <conditionalFormatting sqref="P11">
    <cfRule type="cellIs" priority="46" operator="equal" dxfId="0">
      <formula>""</formula>
    </cfRule>
  </conditionalFormatting>
  <conditionalFormatting sqref="S11">
    <cfRule type="cellIs" priority="47" operator="equal" dxfId="0">
      <formula>""</formula>
    </cfRule>
  </conditionalFormatting>
  <conditionalFormatting sqref="V11">
    <cfRule type="cellIs" priority="48" operator="equal" dxfId="0">
      <formula>""</formula>
    </cfRule>
  </conditionalFormatting>
  <conditionalFormatting sqref="G12">
    <cfRule type="cellIs" priority="49" operator="equal" dxfId="0">
      <formula>""</formula>
    </cfRule>
  </conditionalFormatting>
  <conditionalFormatting sqref="J12">
    <cfRule type="cellIs" priority="50" operator="equal" dxfId="0">
      <formula>""</formula>
    </cfRule>
  </conditionalFormatting>
  <conditionalFormatting sqref="M12">
    <cfRule type="cellIs" priority="51" operator="equal" dxfId="0">
      <formula>""</formula>
    </cfRule>
  </conditionalFormatting>
  <conditionalFormatting sqref="P12">
    <cfRule type="cellIs" priority="52" operator="equal" dxfId="0">
      <formula>""</formula>
    </cfRule>
  </conditionalFormatting>
  <conditionalFormatting sqref="S12">
    <cfRule type="cellIs" priority="53" operator="equal" dxfId="0">
      <formula>""</formula>
    </cfRule>
  </conditionalFormatting>
  <conditionalFormatting sqref="V12">
    <cfRule type="cellIs" priority="54" operator="equal" dxfId="0">
      <formula>""</formula>
    </cfRule>
  </conditionalFormatting>
  <conditionalFormatting sqref="G13">
    <cfRule type="cellIs" priority="55" operator="equal" dxfId="0">
      <formula>""</formula>
    </cfRule>
  </conditionalFormatting>
  <conditionalFormatting sqref="J13">
    <cfRule type="cellIs" priority="56" operator="equal" dxfId="0">
      <formula>""</formula>
    </cfRule>
  </conditionalFormatting>
  <conditionalFormatting sqref="M13">
    <cfRule type="cellIs" priority="57" operator="equal" dxfId="0">
      <formula>""</formula>
    </cfRule>
  </conditionalFormatting>
  <conditionalFormatting sqref="P13">
    <cfRule type="cellIs" priority="58" operator="equal" dxfId="0">
      <formula>""</formula>
    </cfRule>
  </conditionalFormatting>
  <conditionalFormatting sqref="S13">
    <cfRule type="cellIs" priority="59" operator="equal" dxfId="0">
      <formula>""</formula>
    </cfRule>
  </conditionalFormatting>
  <conditionalFormatting sqref="V13">
    <cfRule type="cellIs" priority="60" operator="equal" dxfId="0">
      <formula>""</formula>
    </cfRule>
  </conditionalFormatting>
  <dataValidations count="2">
    <dataValidation sqref="G4 G5 G6 G7 G8 G9 G10 G11 G12 G13 G14 G15 G16 G17 G18 G19 G20 G21 G22 G23 G24 G25 G26 G27 G28 G29 G30 G31 G32 G33 G34 G35 G36 J4 J5 J6 J7 J8 J9 J10 J11 J12 J13 J14 J15 J16 J17 J18 J19 J20 J21 J22 J23 J24 J25 J26 J27 J28 J29 J30 J31 J32 J33 J34 J35 J36 M4 M5 M6 M7 M8 M9 M10 M11 M12 M13 M14 M15 M16 M17 M18 M19 M20 M21 M22 M23 M24 M25 M26 M27 M28 M29 M30 M31 M32 M33 M34 M35 M36 P4 P5 P6 P7 P8 P9 P10 P11 P12 P13 P14 P15 P16 P17 P18 P19 P20 P21 P22 P23 P24 P25 P26 P27 P28 P29 P30 P31 P32 P33 P34 P35 P36 S4 S5 S6 S7 S8 S9 S10 S11 S12 S13 S14 S15 S16 S17 S18 S19 S20 S21 S22 S23 S24 S25 S26 S27 S28 S29 S30 S31 S32 S33 S34 S35 S36 V4 V5 V6 V7 V8 V9 V10 V11 V12 V13 V14 V15 V16 V17 V18 V19 V20 V21 V22 V23 V24 V25 V26 V27 V28 V29 V30 V31 V32 V33 V34 V35 V36" showDropDown="0" showInputMessage="0" showErrorMessage="1" allowBlank="1" errorTitle="Invalid score" error="Score must be one of: 1.0, 1.5, 2.0, 2.5, 3.0, 3.5, 4.0, 4.5, 5.0" type="list" errorStyle="stop">
      <formula1>"1.0,1.5,2.0,2.5,3.0,3.5,4.0,4.5,5.0"</formula1>
    </dataValidation>
    <dataValidation sqref="H4 H5 H6 H7 H8 H9 H10 H11 H12 H13 H14 H15 H16 H17 H18 H19 H20 H21 H22 H23 H24 H25 H26 H27 H28 H29 H30 H31 H32 H33 H34 H35 H36 K4 K5 K6 K7 K8 K9 K10 K11 K12 K13 K14 K15 K16 K17 K18 K19 K20 K21 K22 K23 K24 K25 K26 K27 K28 K29 K30 K31 K32 K33 K34 K35 K36 N4 N5 N6 N7 N8 N9 N10 N11 N12 N13 N14 N15 N16 N17 N18 N19 N20 N21 N22 N23 N24 N25 N26 N27 N28 N29 N30 N31 N32 N33 N34 N35 N36 Q4 Q5 Q6 Q7 Q8 Q9 Q10 Q11 Q12 Q13 Q14 Q15 Q16 Q17 Q18 Q19 Q20 Q21 Q22 Q23 Q24 Q25 Q26 Q27 Q28 Q29 Q30 Q31 Q32 Q33 Q34 Q35 Q36 T4 T5 T6 T7 T8 T9 T10 T11 T12 T13 T14 T15 T16 T17 T18 T19 T20 T21 T22 T23 T24 T25 T26 T27 T28 T29 T30 T31 T32 T33 T34 T35 T36" showDropDown="0" showInputMessage="0" showErrorMessage="1" allowBlank="1" errorTitle="Invalid entry" error="Value must be &quot;Yes&quot; (or left blank)." type="list" errorStyle="stop">
      <formula1>"Yes"</formula1>
    </dataValidation>
  </dataValidation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s>
  <pageMargins left="0.75" right="0.75" top="1" bottom="1" header="0.5" footer="0.5"/>
</worksheet>
</file>

<file path=xl/worksheets/sheet12.xml><?xml version="1.0" encoding="utf-8"?>
<worksheet xmlns="http://schemas.openxmlformats.org/spreadsheetml/2006/main">
  <sheetPr>
    <tabColor rgb="00808080"/>
    <outlinePr summaryBelow="1" summaryRight="1"/>
    <pageSetUpPr/>
  </sheetPr>
  <dimension ref="A1:E15"/>
  <sheetViews>
    <sheetView workbookViewId="0">
      <selection activeCell="A1" sqref="A1"/>
    </sheetView>
  </sheetViews>
  <sheetFormatPr baseColWidth="8" defaultRowHeight="15"/>
  <cols>
    <col width="100" customWidth="1" min="1" max="1"/>
  </cols>
  <sheetData>
    <row r="1" ht="28" customHeight="1">
      <c r="A1" s="1" t="inlineStr">
        <is>
          <t>How This Works</t>
        </is>
      </c>
    </row>
    <row r="3" ht="20" customHeight="1">
      <c r="A3" s="2" t="inlineStr">
        <is>
          <t>Methodology</t>
        </is>
      </c>
    </row>
    <row r="4">
      <c r="A4" s="25" t="inlineStr">
        <is>
          <t>The evaluation criteria, categories, and weights were defined up front, before any vendor was researched, based on standard DAST-buying considerations — coverage, detection quality, production safety, developer experience, reporting, and deployment/data governance. Fixing the rubric first keeps the comparison consistent instead of retrofitting criteria to favor a particular tool.</t>
        </is>
      </c>
    </row>
    <row r="5">
      <c r="A5" s="25" t="inlineStr">
        <is>
          <t>Each criterion has a written rubric describing what a 1 vs. a 3 vs. a 5 looks like. Automated scores come from structured desk research against that rubric — vendor docs, pricing pages, release notes, and public third-party reviews — with the evidence and reasoning captured alongside every score so it's traceable, not a black box.</t>
        </is>
      </c>
    </row>
    <row r="6">
      <c r="A6" s="25" t="inlineStr">
        <is>
          <t>Two criteria, Detection Accuracy and False Positive Rate, also get a hands-on pass: the tool is run against known-vulnerable benchmark targets (OWASP Juice Shop, VAmPI) and the desk-research score is replaced with one based on real scan output. Confidence is upgraded from 'paper' to 'hands-on' when that happens.</t>
        </is>
      </c>
    </row>
    <row r="7">
      <c r="A7" s="25" t="inlineStr">
        <is>
          <t>Reviewer input on each vendor's tab exists to catch what desk research misses or gets wrong — resolved scores from reviewers take precedence over the automated ones in the final totals.</t>
        </is>
      </c>
    </row>
    <row r="9" ht="20" customHeight="1">
      <c r="A9" s="2" t="inlineStr">
        <is>
          <t>Legend</t>
        </is>
      </c>
    </row>
    <row r="10">
      <c r="A10" s="26" t="inlineStr">
        <is>
          <t>Pending rows: dast-scan results not yet available; locked until Round 2 populate fills them in. Until then, treat the Overview ranking as provisional.</t>
        </is>
      </c>
      <c r="B10" s="27" t="n"/>
      <c r="C10" s="27" t="n"/>
      <c r="D10" s="27" t="n"/>
      <c r="E10" s="27" t="n"/>
    </row>
    <row r="11">
      <c r="A11" s="26" t="inlineStr">
        <is>
          <t>Tier highlight (pink): top 10 priority Score cells are tinted while still empty, as a reminder they still need a value.</t>
        </is>
      </c>
      <c r="B11" s="27" t="n"/>
      <c r="C11" s="27" t="n"/>
      <c r="D11" s="27" t="n"/>
      <c r="E11" s="27" t="n"/>
    </row>
    <row r="12">
      <c r="A12" s="26" t="inlineStr">
        <is>
          <t>Dispute = Yes requires a non-blank Rationale; discuss unresolved disputes before finalizing a score.</t>
        </is>
      </c>
      <c r="B12" s="27" t="n"/>
      <c r="C12" s="27" t="n"/>
      <c r="D12" s="27" t="n"/>
      <c r="E12" s="27" t="n"/>
    </row>
    <row r="13">
      <c r="A13" s="26" t="inlineStr">
        <is>
          <t>Automated Confidence: 'paper' = desk research only; 'hands-on' = verified via dast-scan.</t>
        </is>
      </c>
      <c r="B13" s="27" t="n"/>
      <c r="C13" s="27" t="n"/>
      <c r="D13" s="27" t="n"/>
      <c r="E13" s="27" t="n"/>
    </row>
    <row r="14">
      <c r="A14" s="26" t="inlineStr">
        <is>
          <t>Weighted Avg Score is normalized to a 0-5 scale and is comparable across vendors even when the number of pending criteria differs. Row order below is fixed when this workbook is generated and does not auto-resort if scores change later.</t>
        </is>
      </c>
      <c r="B14" s="27" t="n"/>
      <c r="C14" s="27" t="n"/>
      <c r="D14" s="27" t="n"/>
      <c r="E14" s="27" t="n"/>
    </row>
    <row r="15">
      <c r="A15" s="26" t="inlineStr">
        <is>
          <t>Weight (on each vendor sheet) is each criterion's relative importance in the overall weighted score — the same value used in the actual score calculation, set by the evaluator when the criteria taxonomy was defined, not something a reviewer sets.</t>
        </is>
      </c>
      <c r="B15" s="27" t="n"/>
      <c r="C15" s="27" t="n"/>
      <c r="D15" s="27" t="n"/>
      <c r="E15" s="2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2026-07-22T02:11:21Z</dcterms:created>
  <dcterms:modified xsi:type="dcterms:W3CDTF">2026-07-22T02:11:21Z</dcterms:modified>
</cp:coreProperties>
</file>